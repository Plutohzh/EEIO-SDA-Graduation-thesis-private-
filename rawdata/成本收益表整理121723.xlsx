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大学办公\0毕业论文\数据来源\使用的数据\"/>
    </mc:Choice>
  </mc:AlternateContent>
  <xr:revisionPtr revIDLastSave="0" documentId="13_ncr:1_{428E3CC1-306D-4E6E-B575-08C631E6DF9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成本收益表数据整理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J3" i="2"/>
  <c r="K3" i="2"/>
  <c r="I9" i="2"/>
  <c r="I7" i="2" s="1"/>
  <c r="I6" i="2" s="1"/>
  <c r="I15" i="2" s="1"/>
  <c r="I18" i="2" s="1"/>
  <c r="J9" i="2"/>
  <c r="J7" i="2" s="1"/>
  <c r="J6" i="2" s="1"/>
  <c r="J15" i="2" s="1"/>
  <c r="J18" i="2" s="1"/>
  <c r="K9" i="2"/>
  <c r="K7" i="2" s="1"/>
  <c r="K6" i="2" s="1"/>
  <c r="I12" i="2"/>
  <c r="J12" i="2"/>
  <c r="K12" i="2"/>
  <c r="J33" i="2"/>
  <c r="J32" i="2" s="1"/>
  <c r="J39" i="2"/>
  <c r="K39" i="2"/>
  <c r="K33" i="2" s="1"/>
  <c r="K32" i="2" s="1"/>
  <c r="L39" i="2"/>
  <c r="L33" i="2" s="1"/>
  <c r="L32" i="2" s="1"/>
  <c r="J49" i="2"/>
  <c r="K49" i="2"/>
  <c r="L49" i="2"/>
  <c r="I69" i="2"/>
  <c r="I68" i="2" s="1"/>
  <c r="J69" i="2"/>
  <c r="J68" i="2" s="1"/>
  <c r="K69" i="2"/>
  <c r="K68" i="2" s="1"/>
  <c r="I77" i="2"/>
  <c r="J77" i="2"/>
  <c r="K77" i="2"/>
  <c r="I84" i="2"/>
  <c r="I83" i="2" s="1"/>
  <c r="J84" i="2"/>
  <c r="K84" i="2"/>
  <c r="K83" i="2" s="1"/>
  <c r="I92" i="2"/>
  <c r="J92" i="2"/>
  <c r="K92" i="2"/>
  <c r="K15" i="2" l="1"/>
  <c r="K18" i="2" s="1"/>
</calcChain>
</file>

<file path=xl/sharedStrings.xml><?xml version="1.0" encoding="utf-8"?>
<sst xmlns="http://schemas.openxmlformats.org/spreadsheetml/2006/main" count="202" uniqueCount="79">
  <si>
    <t>公斤/亩</t>
    <phoneticPr fontId="1" type="noConversion"/>
  </si>
  <si>
    <t>混配肥</t>
    <phoneticPr fontId="1" type="noConversion"/>
  </si>
  <si>
    <t>三元素复合肥</t>
    <phoneticPr fontId="1" type="noConversion"/>
  </si>
  <si>
    <t>二铵</t>
    <phoneticPr fontId="1" type="noConversion"/>
  </si>
  <si>
    <t>复合肥</t>
    <phoneticPr fontId="1" type="noConversion"/>
  </si>
  <si>
    <t>复混肥</t>
    <phoneticPr fontId="1" type="noConversion"/>
  </si>
  <si>
    <t>氯化钾</t>
    <phoneticPr fontId="1" type="noConversion"/>
  </si>
  <si>
    <t>钾肥</t>
    <phoneticPr fontId="1" type="noConversion"/>
  </si>
  <si>
    <t>过磷酸钙</t>
    <phoneticPr fontId="1" type="noConversion"/>
  </si>
  <si>
    <t>磷肥</t>
    <phoneticPr fontId="1" type="noConversion"/>
  </si>
  <si>
    <t>null</t>
    <phoneticPr fontId="1" type="noConversion"/>
  </si>
  <si>
    <t>其他氮肥</t>
    <phoneticPr fontId="1" type="noConversion"/>
  </si>
  <si>
    <t>碳铵</t>
    <phoneticPr fontId="1" type="noConversion"/>
  </si>
  <si>
    <t>尿素</t>
    <phoneticPr fontId="1" type="noConversion"/>
  </si>
  <si>
    <t>氮肥</t>
    <phoneticPr fontId="1" type="noConversion"/>
  </si>
  <si>
    <t>化肥折纯用量</t>
    <phoneticPr fontId="1" type="noConversion"/>
  </si>
  <si>
    <t>元/亩</t>
    <phoneticPr fontId="1" type="noConversion"/>
  </si>
  <si>
    <t>其他肥料</t>
    <phoneticPr fontId="1" type="noConversion"/>
  </si>
  <si>
    <t>化肥金额</t>
    <phoneticPr fontId="1" type="noConversion"/>
  </si>
  <si>
    <t>单位</t>
    <phoneticPr fontId="1" type="noConversion"/>
  </si>
  <si>
    <t>1-12-3油菜籽化肥投入情况</t>
    <phoneticPr fontId="1" type="noConversion"/>
  </si>
  <si>
    <t>农膜用量</t>
    <phoneticPr fontId="1" type="noConversion"/>
  </si>
  <si>
    <t>化肥用量</t>
    <phoneticPr fontId="1" type="noConversion"/>
  </si>
  <si>
    <t>种子用量</t>
    <phoneticPr fontId="1" type="noConversion"/>
  </si>
  <si>
    <t>雇工工价</t>
    <phoneticPr fontId="1" type="noConversion"/>
  </si>
  <si>
    <t>日/亩</t>
    <phoneticPr fontId="1" type="noConversion"/>
  </si>
  <si>
    <t>雇工天数</t>
    <phoneticPr fontId="1" type="noConversion"/>
  </si>
  <si>
    <t>雇工费用</t>
    <phoneticPr fontId="1" type="noConversion"/>
  </si>
  <si>
    <t>劳动日工价</t>
    <phoneticPr fontId="1" type="noConversion"/>
  </si>
  <si>
    <t>家庭用工天数</t>
    <phoneticPr fontId="1" type="noConversion"/>
  </si>
  <si>
    <t>家庭用工折价</t>
    <phoneticPr fontId="1" type="noConversion"/>
  </si>
  <si>
    <t>人工成本</t>
    <phoneticPr fontId="1" type="noConversion"/>
  </si>
  <si>
    <t>销售费</t>
    <phoneticPr fontId="1" type="noConversion"/>
  </si>
  <si>
    <t>财务费</t>
    <phoneticPr fontId="1" type="noConversion"/>
  </si>
  <si>
    <t>管理费</t>
    <phoneticPr fontId="1" type="noConversion"/>
  </si>
  <si>
    <t>保险费</t>
    <phoneticPr fontId="1" type="noConversion"/>
  </si>
  <si>
    <t>固定资产折旧</t>
    <phoneticPr fontId="1" type="noConversion"/>
  </si>
  <si>
    <t>间接费用</t>
    <phoneticPr fontId="1" type="noConversion"/>
  </si>
  <si>
    <t>其他直接费用</t>
    <phoneticPr fontId="1" type="noConversion"/>
  </si>
  <si>
    <t>修理维护费</t>
    <phoneticPr fontId="1" type="noConversion"/>
  </si>
  <si>
    <t>工具材料费</t>
    <phoneticPr fontId="1" type="noConversion"/>
  </si>
  <si>
    <t>技术服务费</t>
    <phoneticPr fontId="1" type="noConversion"/>
  </si>
  <si>
    <t>燃料动力费</t>
    <phoneticPr fontId="1" type="noConversion"/>
  </si>
  <si>
    <t>畜力费</t>
    <phoneticPr fontId="1" type="noConversion"/>
  </si>
  <si>
    <t>水费</t>
    <phoneticPr fontId="1" type="noConversion"/>
  </si>
  <si>
    <t>排灌费</t>
    <phoneticPr fontId="1" type="noConversion"/>
  </si>
  <si>
    <t>机械作业费</t>
    <phoneticPr fontId="1" type="noConversion"/>
  </si>
  <si>
    <t>租赁作业费</t>
    <phoneticPr fontId="1" type="noConversion"/>
  </si>
  <si>
    <t>农膜费</t>
    <phoneticPr fontId="1" type="noConversion"/>
  </si>
  <si>
    <t>农药费</t>
    <phoneticPr fontId="1" type="noConversion"/>
  </si>
  <si>
    <t>农家肥费</t>
    <phoneticPr fontId="1" type="noConversion"/>
  </si>
  <si>
    <t>化肥费</t>
    <phoneticPr fontId="1" type="noConversion"/>
  </si>
  <si>
    <t>种子费</t>
    <phoneticPr fontId="1" type="noConversion"/>
  </si>
  <si>
    <t>直接费用</t>
    <phoneticPr fontId="1" type="noConversion"/>
  </si>
  <si>
    <t>物质费用与服务费用</t>
    <phoneticPr fontId="1" type="noConversion"/>
  </si>
  <si>
    <t>1-12-2油菜籽费用和用工情况</t>
    <phoneticPr fontId="1" type="noConversion"/>
  </si>
  <si>
    <t>早年这里还有一个商品率</t>
    <phoneticPr fontId="1" type="noConversion"/>
  </si>
  <si>
    <t>每亩成本外支出</t>
    <phoneticPr fontId="1" type="noConversion"/>
  </si>
  <si>
    <t>每亩主产品已出售产值</t>
    <phoneticPr fontId="1" type="noConversion"/>
  </si>
  <si>
    <t>每亩主产品已出售数量</t>
    <phoneticPr fontId="1" type="noConversion"/>
  </si>
  <si>
    <t>每亩用工数量</t>
    <phoneticPr fontId="1" type="noConversion"/>
  </si>
  <si>
    <t>元/50kg主产品</t>
    <phoneticPr fontId="1" type="noConversion"/>
  </si>
  <si>
    <t>现金收益</t>
    <phoneticPr fontId="1" type="noConversion"/>
  </si>
  <si>
    <t>现金成本</t>
    <phoneticPr fontId="1" type="noConversion"/>
  </si>
  <si>
    <t>净利润</t>
    <phoneticPr fontId="1" type="noConversion"/>
  </si>
  <si>
    <t>生产成本</t>
    <phoneticPr fontId="1" type="noConversion"/>
  </si>
  <si>
    <t>总成本</t>
    <phoneticPr fontId="1" type="noConversion"/>
  </si>
  <si>
    <t>平均出售价格</t>
    <phoneticPr fontId="1" type="noConversion"/>
  </si>
  <si>
    <t>%</t>
    <phoneticPr fontId="1" type="noConversion"/>
  </si>
  <si>
    <t>成本利润率</t>
    <phoneticPr fontId="1" type="noConversion"/>
  </si>
  <si>
    <t>自营地折租</t>
    <phoneticPr fontId="1" type="noConversion"/>
  </si>
  <si>
    <t>流转低租金</t>
    <phoneticPr fontId="1" type="noConversion"/>
  </si>
  <si>
    <t>土地成本</t>
    <phoneticPr fontId="1" type="noConversion"/>
  </si>
  <si>
    <t>物质与服务费用</t>
    <phoneticPr fontId="1" type="noConversion"/>
  </si>
  <si>
    <t>副产品产值</t>
    <phoneticPr fontId="1" type="noConversion"/>
  </si>
  <si>
    <t>主产品产值</t>
    <phoneticPr fontId="1" type="noConversion"/>
  </si>
  <si>
    <t>产值合计</t>
    <phoneticPr fontId="1" type="noConversion"/>
  </si>
  <si>
    <t>主产品产量</t>
    <phoneticPr fontId="1" type="noConversion"/>
  </si>
  <si>
    <t>1-12-1油菜籽成本收益情况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</si>
</sst>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76" fontId="0" fillId="0" borderId="1" xfId="0" applyNumberFormat="1" applyBorder="1"/>
    <xf numFmtId="176" fontId="0" fillId="0" borderId="4" xfId="0" applyNumberFormat="1" applyBorder="1"/>
    <xf numFmtId="176" fontId="0" fillId="0" borderId="12" xfId="0" applyNumberFormat="1" applyBorder="1"/>
    <xf numFmtId="176" fontId="0" fillId="0" borderId="6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1490-A87B-4BA2-BC7D-86CB14281719}">
  <dimension ref="A1:L96"/>
  <sheetViews>
    <sheetView tabSelected="1" topLeftCell="A49" workbookViewId="0">
      <selection activeCell="J12" sqref="J12"/>
    </sheetView>
  </sheetViews>
  <sheetFormatPr defaultRowHeight="14" x14ac:dyDescent="0.3"/>
  <sheetData>
    <row r="1" spans="1:11" s="9" customFormat="1" x14ac:dyDescent="0.3">
      <c r="A1" s="12" t="s">
        <v>78</v>
      </c>
      <c r="B1" s="11"/>
      <c r="C1" s="11"/>
      <c r="D1" s="11"/>
      <c r="E1" s="11" t="s">
        <v>19</v>
      </c>
      <c r="F1" s="11"/>
      <c r="G1" s="11"/>
      <c r="H1" s="11"/>
      <c r="I1" s="11">
        <v>2012</v>
      </c>
      <c r="J1" s="11">
        <v>2017</v>
      </c>
      <c r="K1" s="10">
        <v>2023</v>
      </c>
    </row>
    <row r="2" spans="1:11" x14ac:dyDescent="0.3">
      <c r="A2" s="5" t="s">
        <v>77</v>
      </c>
      <c r="E2" t="s">
        <v>0</v>
      </c>
      <c r="I2">
        <v>130.11000000000001</v>
      </c>
      <c r="J2">
        <v>138.15</v>
      </c>
      <c r="K2" s="17">
        <v>131.13999999999999</v>
      </c>
    </row>
    <row r="3" spans="1:11" x14ac:dyDescent="0.3">
      <c r="A3" s="5" t="s">
        <v>76</v>
      </c>
      <c r="E3" t="s">
        <v>16</v>
      </c>
      <c r="I3">
        <f>I4+I5</f>
        <v>652.83999999999992</v>
      </c>
      <c r="J3">
        <f>J4+J5</f>
        <v>713.66</v>
      </c>
      <c r="K3" s="17">
        <f>K4+K5</f>
        <v>880.52</v>
      </c>
    </row>
    <row r="4" spans="1:11" x14ac:dyDescent="0.3">
      <c r="A4" s="5"/>
      <c r="B4" t="s">
        <v>75</v>
      </c>
      <c r="E4" t="s">
        <v>16</v>
      </c>
      <c r="I4">
        <v>642.66</v>
      </c>
      <c r="J4">
        <v>704</v>
      </c>
      <c r="K4" s="17">
        <v>873.23</v>
      </c>
    </row>
    <row r="5" spans="1:11" x14ac:dyDescent="0.3">
      <c r="A5" s="5"/>
      <c r="B5" t="s">
        <v>74</v>
      </c>
      <c r="E5" t="s">
        <v>16</v>
      </c>
      <c r="I5">
        <v>10.18</v>
      </c>
      <c r="J5">
        <v>9.66</v>
      </c>
      <c r="K5" s="17">
        <v>7.29</v>
      </c>
    </row>
    <row r="6" spans="1:11" x14ac:dyDescent="0.3">
      <c r="A6" s="5" t="s">
        <v>66</v>
      </c>
      <c r="E6" t="s">
        <v>16</v>
      </c>
      <c r="I6">
        <f>I7+I12</f>
        <v>734.43999999999994</v>
      </c>
      <c r="J6">
        <f>J7+J12</f>
        <v>922.53769999999997</v>
      </c>
      <c r="K6" s="17">
        <f>K7+K12</f>
        <v>980.74</v>
      </c>
    </row>
    <row r="7" spans="1:11" x14ac:dyDescent="0.3">
      <c r="A7" s="5"/>
      <c r="B7" t="s">
        <v>65</v>
      </c>
      <c r="E7" t="s">
        <v>16</v>
      </c>
      <c r="I7">
        <f>I8+I9</f>
        <v>642.51</v>
      </c>
      <c r="J7">
        <f>J8+J9</f>
        <v>799.90769999999998</v>
      </c>
      <c r="K7" s="17">
        <f>K8+K9</f>
        <v>851.74</v>
      </c>
    </row>
    <row r="8" spans="1:11" x14ac:dyDescent="0.3">
      <c r="A8" s="5"/>
      <c r="C8" t="s">
        <v>73</v>
      </c>
      <c r="E8" t="s">
        <v>16</v>
      </c>
      <c r="I8">
        <v>198.18</v>
      </c>
      <c r="J8">
        <v>239.4</v>
      </c>
      <c r="K8" s="17">
        <v>315.3</v>
      </c>
    </row>
    <row r="9" spans="1:11" x14ac:dyDescent="0.3">
      <c r="A9" s="5"/>
      <c r="C9" t="s">
        <v>31</v>
      </c>
      <c r="E9" t="s">
        <v>16</v>
      </c>
      <c r="I9">
        <f>I10+I11</f>
        <v>444.33</v>
      </c>
      <c r="J9">
        <f>J10+J11</f>
        <v>560.5077</v>
      </c>
      <c r="K9" s="17">
        <f>K10+K11</f>
        <v>536.43999999999994</v>
      </c>
    </row>
    <row r="10" spans="1:11" x14ac:dyDescent="0.3">
      <c r="A10" s="5"/>
      <c r="D10" t="s">
        <v>30</v>
      </c>
      <c r="E10" t="s">
        <v>16</v>
      </c>
      <c r="I10">
        <v>437.64</v>
      </c>
      <c r="J10">
        <v>545.71770000000004</v>
      </c>
      <c r="K10" s="17">
        <v>517.91</v>
      </c>
    </row>
    <row r="11" spans="1:11" x14ac:dyDescent="0.3">
      <c r="A11" s="5"/>
      <c r="D11" t="s">
        <v>27</v>
      </c>
      <c r="E11" t="s">
        <v>16</v>
      </c>
      <c r="I11">
        <v>6.69</v>
      </c>
      <c r="J11">
        <v>14.79</v>
      </c>
      <c r="K11" s="17">
        <v>18.53</v>
      </c>
    </row>
    <row r="12" spans="1:11" x14ac:dyDescent="0.3">
      <c r="A12" s="5"/>
      <c r="B12" t="s">
        <v>72</v>
      </c>
      <c r="E12" t="s">
        <v>16</v>
      </c>
      <c r="I12">
        <f>I13+I14</f>
        <v>91.929999999999993</v>
      </c>
      <c r="J12">
        <f>J13+J14</f>
        <v>122.63</v>
      </c>
      <c r="K12" s="17">
        <f>K13+K14</f>
        <v>129</v>
      </c>
    </row>
    <row r="13" spans="1:11" x14ac:dyDescent="0.3">
      <c r="A13" s="5"/>
      <c r="C13" t="s">
        <v>71</v>
      </c>
      <c r="E13" t="s">
        <v>16</v>
      </c>
      <c r="I13">
        <v>9.08</v>
      </c>
      <c r="J13">
        <v>12.91</v>
      </c>
      <c r="K13" s="17">
        <v>16.170000000000002</v>
      </c>
    </row>
    <row r="14" spans="1:11" x14ac:dyDescent="0.3">
      <c r="A14" s="5"/>
      <c r="C14" t="s">
        <v>70</v>
      </c>
      <c r="E14" t="s">
        <v>16</v>
      </c>
      <c r="I14">
        <v>82.85</v>
      </c>
      <c r="J14">
        <v>109.72</v>
      </c>
      <c r="K14" s="17">
        <v>112.83</v>
      </c>
    </row>
    <row r="15" spans="1:11" x14ac:dyDescent="0.3">
      <c r="A15" s="5" t="s">
        <v>64</v>
      </c>
      <c r="E15" t="s">
        <v>16</v>
      </c>
      <c r="I15">
        <f>I3-I6</f>
        <v>-81.600000000000023</v>
      </c>
      <c r="J15">
        <f>J3-J6</f>
        <v>-208.8777</v>
      </c>
      <c r="K15" s="17">
        <f>K3-K6</f>
        <v>-100.22000000000003</v>
      </c>
    </row>
    <row r="16" spans="1:11" x14ac:dyDescent="0.3">
      <c r="A16" s="5" t="s">
        <v>63</v>
      </c>
      <c r="E16" t="s">
        <v>16</v>
      </c>
      <c r="I16">
        <v>213.95</v>
      </c>
      <c r="J16">
        <v>267.10000000000002</v>
      </c>
      <c r="K16" s="17">
        <v>350</v>
      </c>
    </row>
    <row r="17" spans="1:12" x14ac:dyDescent="0.3">
      <c r="A17" s="5" t="s">
        <v>62</v>
      </c>
      <c r="E17" t="s">
        <v>16</v>
      </c>
      <c r="I17">
        <v>438.89</v>
      </c>
      <c r="J17">
        <v>446.56</v>
      </c>
      <c r="K17" s="17">
        <v>530.52</v>
      </c>
    </row>
    <row r="18" spans="1:12" x14ac:dyDescent="0.3">
      <c r="A18" s="5" t="s">
        <v>69</v>
      </c>
      <c r="E18" t="s">
        <v>68</v>
      </c>
      <c r="I18">
        <f>I15/I6*100</f>
        <v>-11.110505963727469</v>
      </c>
      <c r="J18">
        <f>J15/J6*100</f>
        <v>-22.641643804909002</v>
      </c>
      <c r="K18" s="17">
        <f>K15/K6*100</f>
        <v>-10.21881436466342</v>
      </c>
    </row>
    <row r="19" spans="1:12" x14ac:dyDescent="0.3">
      <c r="A19" s="8" t="s">
        <v>67</v>
      </c>
      <c r="B19" s="7"/>
      <c r="C19" s="7"/>
      <c r="D19" s="7"/>
      <c r="E19" s="7" t="s">
        <v>61</v>
      </c>
      <c r="F19" s="7"/>
      <c r="G19" s="7"/>
      <c r="H19" s="7"/>
      <c r="I19" s="7">
        <v>246.97</v>
      </c>
      <c r="J19" s="7">
        <v>254.8</v>
      </c>
      <c r="K19" s="19">
        <v>322.94</v>
      </c>
    </row>
    <row r="20" spans="1:12" x14ac:dyDescent="0.3">
      <c r="A20" s="5" t="s">
        <v>66</v>
      </c>
      <c r="E20" t="s">
        <v>61</v>
      </c>
      <c r="I20">
        <v>277.83999999999997</v>
      </c>
      <c r="J20">
        <v>329.38</v>
      </c>
      <c r="K20" s="17">
        <v>370.83</v>
      </c>
    </row>
    <row r="21" spans="1:12" x14ac:dyDescent="0.3">
      <c r="A21" s="5"/>
      <c r="B21" t="s">
        <v>65</v>
      </c>
      <c r="E21" t="s">
        <v>61</v>
      </c>
      <c r="I21">
        <v>243.06</v>
      </c>
      <c r="J21">
        <v>285.58999999999997</v>
      </c>
      <c r="K21" s="17">
        <v>322.06</v>
      </c>
    </row>
    <row r="22" spans="1:12" x14ac:dyDescent="0.3">
      <c r="A22" s="5" t="s">
        <v>64</v>
      </c>
      <c r="E22" t="s">
        <v>61</v>
      </c>
      <c r="I22">
        <v>-30.87</v>
      </c>
      <c r="J22">
        <v>-74.58</v>
      </c>
      <c r="K22" s="17">
        <v>-37.89</v>
      </c>
    </row>
    <row r="23" spans="1:12" x14ac:dyDescent="0.3">
      <c r="A23" s="5" t="s">
        <v>63</v>
      </c>
      <c r="E23" t="s">
        <v>61</v>
      </c>
      <c r="I23">
        <v>80.94</v>
      </c>
      <c r="J23">
        <v>95.36</v>
      </c>
      <c r="K23" s="17">
        <v>132.34</v>
      </c>
    </row>
    <row r="24" spans="1:12" x14ac:dyDescent="0.3">
      <c r="A24" s="15" t="s">
        <v>62</v>
      </c>
      <c r="B24" s="14"/>
      <c r="C24" s="14"/>
      <c r="D24" s="14"/>
      <c r="E24" s="14" t="s">
        <v>61</v>
      </c>
      <c r="F24" s="14"/>
      <c r="G24" s="14"/>
      <c r="H24" s="14"/>
      <c r="I24" s="14">
        <v>166.03</v>
      </c>
      <c r="J24" s="14">
        <v>159.44</v>
      </c>
      <c r="K24" s="18">
        <v>200.6</v>
      </c>
    </row>
    <row r="25" spans="1:12" x14ac:dyDescent="0.3">
      <c r="A25" s="5" t="s">
        <v>60</v>
      </c>
      <c r="E25" t="s">
        <v>25</v>
      </c>
      <c r="I25">
        <v>7.91</v>
      </c>
      <c r="J25">
        <v>6.71</v>
      </c>
      <c r="K25" s="17">
        <v>5.48</v>
      </c>
    </row>
    <row r="26" spans="1:12" x14ac:dyDescent="0.3">
      <c r="A26" s="5" t="s">
        <v>59</v>
      </c>
      <c r="E26" t="s">
        <v>0</v>
      </c>
      <c r="I26">
        <v>97.75</v>
      </c>
      <c r="J26">
        <v>113.4</v>
      </c>
      <c r="K26" s="17">
        <v>114.56</v>
      </c>
    </row>
    <row r="27" spans="1:12" x14ac:dyDescent="0.3">
      <c r="A27" s="5" t="s">
        <v>58</v>
      </c>
      <c r="E27" t="s">
        <v>16</v>
      </c>
      <c r="I27">
        <v>474.55</v>
      </c>
      <c r="J27">
        <v>567.94000000000005</v>
      </c>
      <c r="K27" s="17">
        <v>759.17</v>
      </c>
    </row>
    <row r="28" spans="1:12" ht="14.5" thickBot="1" x14ac:dyDescent="0.35">
      <c r="A28" s="3" t="s">
        <v>57</v>
      </c>
      <c r="B28" s="2"/>
      <c r="C28" s="2"/>
      <c r="D28" s="2"/>
      <c r="E28" s="2" t="s">
        <v>16</v>
      </c>
      <c r="F28" s="2"/>
      <c r="G28" s="2"/>
      <c r="H28" s="2"/>
      <c r="I28" s="2">
        <v>1.29</v>
      </c>
      <c r="J28" s="2">
        <v>0.41</v>
      </c>
      <c r="K28" s="16">
        <v>0.08</v>
      </c>
    </row>
    <row r="29" spans="1:12" x14ac:dyDescent="0.3">
      <c r="A29" t="s">
        <v>56</v>
      </c>
      <c r="I29">
        <v>80.95</v>
      </c>
    </row>
    <row r="30" spans="1:12" ht="14.5" thickBot="1" x14ac:dyDescent="0.35"/>
    <row r="31" spans="1:12" s="9" customFormat="1" x14ac:dyDescent="0.3">
      <c r="A31" s="12" t="s">
        <v>55</v>
      </c>
      <c r="B31" s="11"/>
      <c r="C31" s="11"/>
      <c r="D31" s="11"/>
      <c r="E31" s="11"/>
      <c r="F31" s="11" t="s">
        <v>19</v>
      </c>
      <c r="G31" s="11"/>
      <c r="H31" s="11"/>
      <c r="I31" s="11"/>
      <c r="J31" s="11">
        <v>2012</v>
      </c>
      <c r="K31" s="11">
        <v>2017</v>
      </c>
      <c r="L31" s="10">
        <v>2023</v>
      </c>
    </row>
    <row r="32" spans="1:12" x14ac:dyDescent="0.3">
      <c r="A32" s="5" t="s">
        <v>54</v>
      </c>
      <c r="F32" t="s">
        <v>16</v>
      </c>
      <c r="J32">
        <f>J33+J49</f>
        <v>198.17999999999998</v>
      </c>
      <c r="K32">
        <f>K33+K49</f>
        <v>239.39999999999998</v>
      </c>
      <c r="L32" s="4">
        <f>L33+L49</f>
        <v>315.29999999999995</v>
      </c>
    </row>
    <row r="33" spans="1:12" x14ac:dyDescent="0.3">
      <c r="A33" s="5"/>
      <c r="B33" t="s">
        <v>53</v>
      </c>
      <c r="F33" t="s">
        <v>16</v>
      </c>
      <c r="J33">
        <f>J34+J35+J36+J37+J39+J44+J46+J47</f>
        <v>191.29</v>
      </c>
      <c r="K33">
        <f>K34+K35+K36+K37+K38+K39+K44+K46+K47</f>
        <v>230.01999999999998</v>
      </c>
      <c r="L33" s="4">
        <f>L34+L35+L36+L37+L38+L39+L44+L45+L46+L47</f>
        <v>304.61999999999995</v>
      </c>
    </row>
    <row r="34" spans="1:12" x14ac:dyDescent="0.3">
      <c r="A34" s="5"/>
      <c r="C34" t="s">
        <v>52</v>
      </c>
      <c r="F34" t="s">
        <v>16</v>
      </c>
      <c r="J34">
        <v>17.489999999999998</v>
      </c>
      <c r="K34">
        <v>20.48</v>
      </c>
      <c r="L34" s="4">
        <v>28.05</v>
      </c>
    </row>
    <row r="35" spans="1:12" x14ac:dyDescent="0.3">
      <c r="A35" s="5"/>
      <c r="C35" t="s">
        <v>51</v>
      </c>
      <c r="F35" t="s">
        <v>16</v>
      </c>
      <c r="J35">
        <v>86.38</v>
      </c>
      <c r="K35">
        <v>85.93</v>
      </c>
      <c r="L35" s="4">
        <v>130.59</v>
      </c>
    </row>
    <row r="36" spans="1:12" x14ac:dyDescent="0.3">
      <c r="A36" s="5"/>
      <c r="C36" t="s">
        <v>50</v>
      </c>
      <c r="F36" t="s">
        <v>16</v>
      </c>
      <c r="J36">
        <v>10.11</v>
      </c>
      <c r="K36">
        <v>14.85</v>
      </c>
      <c r="L36" s="4">
        <v>8.0399999999999991</v>
      </c>
    </row>
    <row r="37" spans="1:12" x14ac:dyDescent="0.3">
      <c r="A37" s="5"/>
      <c r="C37" t="s">
        <v>49</v>
      </c>
      <c r="F37" t="s">
        <v>16</v>
      </c>
      <c r="J37">
        <v>12.56</v>
      </c>
      <c r="K37">
        <v>16.399999999999999</v>
      </c>
      <c r="L37" s="4">
        <v>20.59</v>
      </c>
    </row>
    <row r="38" spans="1:12" x14ac:dyDescent="0.3">
      <c r="A38" s="5"/>
      <c r="C38" t="s">
        <v>48</v>
      </c>
      <c r="F38" t="s">
        <v>16</v>
      </c>
      <c r="J38" t="s">
        <v>10</v>
      </c>
      <c r="K38">
        <v>0.18</v>
      </c>
      <c r="L38" s="4">
        <v>0.11</v>
      </c>
    </row>
    <row r="39" spans="1:12" x14ac:dyDescent="0.3">
      <c r="A39" s="5"/>
      <c r="C39" t="s">
        <v>47</v>
      </c>
      <c r="F39" t="s">
        <v>16</v>
      </c>
      <c r="J39">
        <f>J40+J41+J43</f>
        <v>58.949999999999996</v>
      </c>
      <c r="K39">
        <f>K40+K41+K43</f>
        <v>85.34</v>
      </c>
      <c r="L39" s="4">
        <f>L40+L41+L43</f>
        <v>109.86999999999999</v>
      </c>
    </row>
    <row r="40" spans="1:12" x14ac:dyDescent="0.3">
      <c r="A40" s="5"/>
      <c r="D40" t="s">
        <v>46</v>
      </c>
      <c r="F40" t="s">
        <v>16</v>
      </c>
      <c r="J40">
        <v>41.23</v>
      </c>
      <c r="K40">
        <v>72.62</v>
      </c>
      <c r="L40" s="4">
        <v>105.69</v>
      </c>
    </row>
    <row r="41" spans="1:12" x14ac:dyDescent="0.3">
      <c r="A41" s="5"/>
      <c r="D41" t="s">
        <v>45</v>
      </c>
      <c r="F41" t="s">
        <v>16</v>
      </c>
      <c r="J41">
        <v>3.21</v>
      </c>
      <c r="K41">
        <v>3.47</v>
      </c>
      <c r="L41" s="4">
        <v>3.24</v>
      </c>
    </row>
    <row r="42" spans="1:12" x14ac:dyDescent="0.3">
      <c r="A42" s="5"/>
      <c r="E42" t="s">
        <v>44</v>
      </c>
      <c r="F42" t="s">
        <v>16</v>
      </c>
      <c r="J42">
        <v>2.48</v>
      </c>
      <c r="K42">
        <v>2.65</v>
      </c>
      <c r="L42" s="4">
        <v>2.54</v>
      </c>
    </row>
    <row r="43" spans="1:12" x14ac:dyDescent="0.3">
      <c r="A43" s="5"/>
      <c r="D43" t="s">
        <v>43</v>
      </c>
      <c r="F43" t="s">
        <v>16</v>
      </c>
      <c r="J43">
        <v>14.51</v>
      </c>
      <c r="K43">
        <v>9.25</v>
      </c>
      <c r="L43" s="4">
        <v>0.94</v>
      </c>
    </row>
    <row r="44" spans="1:12" x14ac:dyDescent="0.3">
      <c r="A44" s="5"/>
      <c r="C44" t="s">
        <v>42</v>
      </c>
      <c r="F44" t="s">
        <v>16</v>
      </c>
      <c r="J44">
        <v>0.55000000000000004</v>
      </c>
      <c r="K44">
        <v>1.26</v>
      </c>
      <c r="L44" s="4">
        <v>1.82</v>
      </c>
    </row>
    <row r="45" spans="1:12" x14ac:dyDescent="0.3">
      <c r="A45" s="5"/>
      <c r="C45" t="s">
        <v>41</v>
      </c>
      <c r="F45" t="s">
        <v>16</v>
      </c>
      <c r="J45" t="s">
        <v>10</v>
      </c>
      <c r="K45" t="s">
        <v>10</v>
      </c>
      <c r="L45" s="4">
        <v>0.03</v>
      </c>
    </row>
    <row r="46" spans="1:12" x14ac:dyDescent="0.3">
      <c r="A46" s="5"/>
      <c r="C46" t="s">
        <v>40</v>
      </c>
      <c r="F46" t="s">
        <v>16</v>
      </c>
      <c r="J46">
        <v>4.1399999999999997</v>
      </c>
      <c r="K46">
        <v>4.07</v>
      </c>
      <c r="L46" s="4">
        <v>3.81</v>
      </c>
    </row>
    <row r="47" spans="1:12" x14ac:dyDescent="0.3">
      <c r="A47" s="5"/>
      <c r="C47" t="s">
        <v>39</v>
      </c>
      <c r="F47" t="s">
        <v>16</v>
      </c>
      <c r="J47">
        <v>1.1100000000000001</v>
      </c>
      <c r="K47">
        <v>1.51</v>
      </c>
      <c r="L47" s="4">
        <v>1.71</v>
      </c>
    </row>
    <row r="48" spans="1:12" x14ac:dyDescent="0.3">
      <c r="A48" s="5"/>
      <c r="C48" t="s">
        <v>38</v>
      </c>
      <c r="F48" t="s">
        <v>16</v>
      </c>
      <c r="J48" t="s">
        <v>10</v>
      </c>
      <c r="K48" t="s">
        <v>10</v>
      </c>
      <c r="L48" s="4" t="s">
        <v>10</v>
      </c>
    </row>
    <row r="49" spans="1:12" x14ac:dyDescent="0.3">
      <c r="A49" s="5"/>
      <c r="B49" t="s">
        <v>37</v>
      </c>
      <c r="F49" t="s">
        <v>16</v>
      </c>
      <c r="J49">
        <f>J50+J51+J54</f>
        <v>6.89</v>
      </c>
      <c r="K49">
        <f>K50+K51+K54</f>
        <v>9.379999999999999</v>
      </c>
      <c r="L49" s="4">
        <f>L50+L51+L52+L54</f>
        <v>10.68</v>
      </c>
    </row>
    <row r="50" spans="1:12" x14ac:dyDescent="0.3">
      <c r="A50" s="5"/>
      <c r="C50" t="s">
        <v>36</v>
      </c>
      <c r="F50" t="s">
        <v>16</v>
      </c>
      <c r="J50">
        <v>4.22</v>
      </c>
      <c r="K50">
        <v>5.79</v>
      </c>
      <c r="L50" s="4">
        <v>6.07</v>
      </c>
    </row>
    <row r="51" spans="1:12" x14ac:dyDescent="0.3">
      <c r="A51" s="5"/>
      <c r="C51" t="s">
        <v>35</v>
      </c>
      <c r="F51" t="s">
        <v>16</v>
      </c>
      <c r="J51">
        <v>2.2200000000000002</v>
      </c>
      <c r="K51">
        <v>3.31</v>
      </c>
      <c r="L51" s="4">
        <v>4.3</v>
      </c>
    </row>
    <row r="52" spans="1:12" x14ac:dyDescent="0.3">
      <c r="A52" s="5"/>
      <c r="C52" t="s">
        <v>34</v>
      </c>
      <c r="F52" t="s">
        <v>16</v>
      </c>
      <c r="J52" t="s">
        <v>10</v>
      </c>
      <c r="K52" t="s">
        <v>10</v>
      </c>
      <c r="L52" s="4">
        <v>0.11</v>
      </c>
    </row>
    <row r="53" spans="1:12" x14ac:dyDescent="0.3">
      <c r="A53" s="5"/>
      <c r="C53" t="s">
        <v>33</v>
      </c>
      <c r="F53" t="s">
        <v>16</v>
      </c>
      <c r="J53" t="s">
        <v>10</v>
      </c>
      <c r="K53" t="s">
        <v>10</v>
      </c>
      <c r="L53" s="4" t="s">
        <v>10</v>
      </c>
    </row>
    <row r="54" spans="1:12" x14ac:dyDescent="0.3">
      <c r="A54" s="5"/>
      <c r="C54" t="s">
        <v>32</v>
      </c>
      <c r="F54" t="s">
        <v>16</v>
      </c>
      <c r="J54">
        <v>0.45</v>
      </c>
      <c r="K54">
        <v>0.28000000000000003</v>
      </c>
      <c r="L54" s="4">
        <v>0.2</v>
      </c>
    </row>
    <row r="55" spans="1:12" x14ac:dyDescent="0.3">
      <c r="A55" s="8" t="s">
        <v>31</v>
      </c>
      <c r="B55" s="7"/>
      <c r="C55" s="7"/>
      <c r="D55" s="7"/>
      <c r="E55" s="7"/>
      <c r="F55" s="7" t="s">
        <v>16</v>
      </c>
      <c r="G55" s="7"/>
      <c r="H55" s="7"/>
      <c r="I55" s="7"/>
      <c r="J55" s="7">
        <v>444.33</v>
      </c>
      <c r="K55" s="7">
        <v>560.5077</v>
      </c>
      <c r="L55" s="6">
        <v>536.44000000000005</v>
      </c>
    </row>
    <row r="56" spans="1:12" x14ac:dyDescent="0.3">
      <c r="A56" s="5"/>
      <c r="B56" t="s">
        <v>30</v>
      </c>
      <c r="F56" t="s">
        <v>16</v>
      </c>
      <c r="J56">
        <v>437.64</v>
      </c>
      <c r="K56">
        <v>545.71770000000004</v>
      </c>
      <c r="L56" s="4">
        <v>517.91</v>
      </c>
    </row>
    <row r="57" spans="1:12" x14ac:dyDescent="0.3">
      <c r="A57" s="5"/>
      <c r="C57" t="s">
        <v>29</v>
      </c>
      <c r="F57" t="s">
        <v>25</v>
      </c>
      <c r="J57">
        <v>7.82</v>
      </c>
      <c r="K57">
        <v>6.5670000000000002</v>
      </c>
      <c r="L57" s="4">
        <v>5.34</v>
      </c>
    </row>
    <row r="58" spans="1:12" x14ac:dyDescent="0.3">
      <c r="A58" s="5"/>
      <c r="C58" t="s">
        <v>28</v>
      </c>
      <c r="F58" t="s">
        <v>16</v>
      </c>
      <c r="J58">
        <v>56</v>
      </c>
      <c r="K58">
        <v>83.1</v>
      </c>
      <c r="L58" s="4">
        <v>96.95</v>
      </c>
    </row>
    <row r="59" spans="1:12" x14ac:dyDescent="0.3">
      <c r="A59" s="5"/>
      <c r="B59" t="s">
        <v>27</v>
      </c>
      <c r="F59" t="s">
        <v>16</v>
      </c>
      <c r="J59">
        <v>6.69</v>
      </c>
      <c r="K59">
        <v>14.79</v>
      </c>
      <c r="L59" s="4">
        <v>18.53</v>
      </c>
    </row>
    <row r="60" spans="1:12" x14ac:dyDescent="0.3">
      <c r="A60" s="5"/>
      <c r="C60" t="s">
        <v>26</v>
      </c>
      <c r="F60" t="s">
        <v>25</v>
      </c>
      <c r="J60">
        <v>0.09</v>
      </c>
      <c r="K60">
        <v>0.14000000000000001</v>
      </c>
      <c r="L60" s="4">
        <v>0.13</v>
      </c>
    </row>
    <row r="61" spans="1:12" x14ac:dyDescent="0.3">
      <c r="A61" s="15"/>
      <c r="B61" s="14"/>
      <c r="C61" s="14" t="s">
        <v>24</v>
      </c>
      <c r="D61" s="14"/>
      <c r="E61" s="14"/>
      <c r="F61" s="14" t="s">
        <v>16</v>
      </c>
      <c r="G61" s="14"/>
      <c r="H61" s="14"/>
      <c r="I61" s="14"/>
      <c r="J61" s="14">
        <v>72.739999999999995</v>
      </c>
      <c r="K61" s="14">
        <v>105.643</v>
      </c>
      <c r="L61" s="13">
        <v>138.30000000000001</v>
      </c>
    </row>
    <row r="62" spans="1:12" x14ac:dyDescent="0.3">
      <c r="A62" s="5" t="s">
        <v>23</v>
      </c>
      <c r="F62" t="s">
        <v>0</v>
      </c>
      <c r="J62">
        <v>0.34</v>
      </c>
      <c r="K62">
        <v>0.37</v>
      </c>
      <c r="L62" s="4">
        <v>0.32</v>
      </c>
    </row>
    <row r="63" spans="1:12" x14ac:dyDescent="0.3">
      <c r="A63" s="5" t="s">
        <v>22</v>
      </c>
      <c r="F63" t="s">
        <v>0</v>
      </c>
      <c r="J63">
        <v>14.6</v>
      </c>
      <c r="K63">
        <v>16.149999999999999</v>
      </c>
      <c r="L63" s="4">
        <v>16.98</v>
      </c>
    </row>
    <row r="64" spans="1:12" ht="14.5" thickBot="1" x14ac:dyDescent="0.35">
      <c r="A64" s="3" t="s">
        <v>21</v>
      </c>
      <c r="B64" s="2"/>
      <c r="C64" s="2"/>
      <c r="D64" s="2"/>
      <c r="E64" s="2"/>
      <c r="F64" s="2" t="s">
        <v>0</v>
      </c>
      <c r="G64" s="2"/>
      <c r="H64" s="2"/>
      <c r="I64" s="2"/>
      <c r="J64" s="2" t="s">
        <v>10</v>
      </c>
      <c r="K64" s="2">
        <v>0.02</v>
      </c>
      <c r="L64" s="1">
        <v>0.01</v>
      </c>
    </row>
    <row r="66" spans="1:11" ht="14.5" thickBot="1" x14ac:dyDescent="0.35"/>
    <row r="67" spans="1:11" s="9" customFormat="1" x14ac:dyDescent="0.3">
      <c r="A67" s="12" t="s">
        <v>20</v>
      </c>
      <c r="B67" s="11"/>
      <c r="C67" s="11"/>
      <c r="D67" s="11"/>
      <c r="E67" s="11" t="s">
        <v>19</v>
      </c>
      <c r="F67" s="11"/>
      <c r="G67" s="11"/>
      <c r="H67" s="11"/>
      <c r="I67" s="11">
        <v>2012</v>
      </c>
      <c r="J67" s="11">
        <v>2017</v>
      </c>
      <c r="K67" s="10">
        <v>2023</v>
      </c>
    </row>
    <row r="68" spans="1:11" x14ac:dyDescent="0.3">
      <c r="A68" s="5" t="s">
        <v>18</v>
      </c>
      <c r="E68" t="s">
        <v>16</v>
      </c>
      <c r="I68">
        <f>I69+I73+I75+I77+I82</f>
        <v>86.38</v>
      </c>
      <c r="J68">
        <f>J69+J73+J75+J77+J82</f>
        <v>85.929999999999993</v>
      </c>
      <c r="K68" s="4">
        <f>K69+K73+K75+K77+K82</f>
        <v>130.58999999999997</v>
      </c>
    </row>
    <row r="69" spans="1:11" x14ac:dyDescent="0.3">
      <c r="A69" s="5"/>
      <c r="B69" t="s">
        <v>14</v>
      </c>
      <c r="E69" t="s">
        <v>16</v>
      </c>
      <c r="I69">
        <f>I70+I71+I72</f>
        <v>33.949999999999996</v>
      </c>
      <c r="J69">
        <f>J70+J71</f>
        <v>26.33</v>
      </c>
      <c r="K69" s="4">
        <f>K70+K71</f>
        <v>34.729999999999997</v>
      </c>
    </row>
    <row r="70" spans="1:11" x14ac:dyDescent="0.3">
      <c r="A70" s="5"/>
      <c r="C70" t="s">
        <v>13</v>
      </c>
      <c r="E70" t="s">
        <v>16</v>
      </c>
      <c r="I70">
        <v>26.3</v>
      </c>
      <c r="J70">
        <v>20.74</v>
      </c>
      <c r="K70" s="4">
        <v>30.04</v>
      </c>
    </row>
    <row r="71" spans="1:11" x14ac:dyDescent="0.3">
      <c r="A71" s="5"/>
      <c r="C71" t="s">
        <v>12</v>
      </c>
      <c r="E71" t="s">
        <v>16</v>
      </c>
      <c r="I71">
        <v>7.64</v>
      </c>
      <c r="J71">
        <v>5.59</v>
      </c>
      <c r="K71" s="4">
        <v>4.6900000000000004</v>
      </c>
    </row>
    <row r="72" spans="1:11" x14ac:dyDescent="0.3">
      <c r="A72" s="5"/>
      <c r="C72" t="s">
        <v>11</v>
      </c>
      <c r="E72" t="s">
        <v>16</v>
      </c>
      <c r="I72">
        <v>0.01</v>
      </c>
      <c r="J72" t="s">
        <v>10</v>
      </c>
      <c r="K72" s="4" t="s">
        <v>10</v>
      </c>
    </row>
    <row r="73" spans="1:11" x14ac:dyDescent="0.3">
      <c r="A73" s="5"/>
      <c r="B73" t="s">
        <v>9</v>
      </c>
      <c r="E73" t="s">
        <v>16</v>
      </c>
      <c r="I73">
        <v>7.1</v>
      </c>
      <c r="J73">
        <v>4.78</v>
      </c>
      <c r="K73" s="4">
        <v>5.01</v>
      </c>
    </row>
    <row r="74" spans="1:11" x14ac:dyDescent="0.3">
      <c r="A74" s="5"/>
      <c r="C74" t="s">
        <v>8</v>
      </c>
      <c r="E74" t="s">
        <v>16</v>
      </c>
      <c r="I74">
        <v>6.62</v>
      </c>
      <c r="J74">
        <v>4.3499999999999996</v>
      </c>
      <c r="K74" s="4">
        <v>4.4400000000000004</v>
      </c>
    </row>
    <row r="75" spans="1:11" x14ac:dyDescent="0.3">
      <c r="A75" s="5"/>
      <c r="B75" t="s">
        <v>7</v>
      </c>
      <c r="E75" t="s">
        <v>16</v>
      </c>
      <c r="I75">
        <v>1.06</v>
      </c>
      <c r="J75">
        <v>1.1499999999999999</v>
      </c>
      <c r="K75" s="4">
        <v>1</v>
      </c>
    </row>
    <row r="76" spans="1:11" x14ac:dyDescent="0.3">
      <c r="A76" s="5"/>
      <c r="C76" t="s">
        <v>6</v>
      </c>
      <c r="E76" t="s">
        <v>16</v>
      </c>
      <c r="I76">
        <v>1.01</v>
      </c>
      <c r="J76">
        <v>1.1499999999999999</v>
      </c>
      <c r="K76" s="4">
        <v>0.77</v>
      </c>
    </row>
    <row r="77" spans="1:11" x14ac:dyDescent="0.3">
      <c r="A77" s="5"/>
      <c r="B77" t="s">
        <v>5</v>
      </c>
      <c r="E77" t="s">
        <v>16</v>
      </c>
      <c r="I77">
        <f>I78+I81</f>
        <v>43.05</v>
      </c>
      <c r="J77">
        <f>J78+J81</f>
        <v>53.28</v>
      </c>
      <c r="K77" s="4">
        <f>K78+K81</f>
        <v>88.47</v>
      </c>
    </row>
    <row r="78" spans="1:11" x14ac:dyDescent="0.3">
      <c r="A78" s="5"/>
      <c r="C78" t="s">
        <v>4</v>
      </c>
      <c r="E78" t="s">
        <v>16</v>
      </c>
      <c r="I78">
        <v>41.51</v>
      </c>
      <c r="J78">
        <v>51.44</v>
      </c>
      <c r="K78" s="4">
        <v>86.56</v>
      </c>
    </row>
    <row r="79" spans="1:11" x14ac:dyDescent="0.3">
      <c r="A79" s="5"/>
      <c r="D79" t="s">
        <v>3</v>
      </c>
      <c r="E79" t="s">
        <v>16</v>
      </c>
      <c r="I79">
        <v>3.15</v>
      </c>
      <c r="J79">
        <v>3.69</v>
      </c>
      <c r="K79" s="4">
        <v>3.98</v>
      </c>
    </row>
    <row r="80" spans="1:11" x14ac:dyDescent="0.3">
      <c r="A80" s="5"/>
      <c r="D80" t="s">
        <v>2</v>
      </c>
      <c r="E80" t="s">
        <v>16</v>
      </c>
      <c r="I80">
        <v>24.7</v>
      </c>
      <c r="J80">
        <v>24.73</v>
      </c>
      <c r="K80" s="4">
        <v>47.22</v>
      </c>
    </row>
    <row r="81" spans="1:11" x14ac:dyDescent="0.3">
      <c r="A81" s="5"/>
      <c r="C81" t="s">
        <v>1</v>
      </c>
      <c r="E81" t="s">
        <v>16</v>
      </c>
      <c r="I81">
        <v>1.54</v>
      </c>
      <c r="J81">
        <v>1.84</v>
      </c>
      <c r="K81" s="4">
        <v>1.91</v>
      </c>
    </row>
    <row r="82" spans="1:11" x14ac:dyDescent="0.3">
      <c r="A82" s="5"/>
      <c r="B82" t="s">
        <v>17</v>
      </c>
      <c r="E82" t="s">
        <v>16</v>
      </c>
      <c r="I82">
        <v>1.22</v>
      </c>
      <c r="J82">
        <v>0.39</v>
      </c>
      <c r="K82" s="4">
        <v>1.38</v>
      </c>
    </row>
    <row r="83" spans="1:11" x14ac:dyDescent="0.3">
      <c r="A83" s="8" t="s">
        <v>15</v>
      </c>
      <c r="B83" s="7"/>
      <c r="C83" s="7"/>
      <c r="D83" s="7"/>
      <c r="E83" s="7" t="s">
        <v>0</v>
      </c>
      <c r="F83" s="7"/>
      <c r="G83" s="7"/>
      <c r="H83" s="7"/>
      <c r="I83" s="7">
        <f>I84+I88+I90+I92</f>
        <v>14.599999999999998</v>
      </c>
      <c r="J83" s="7">
        <v>16.149999999999999</v>
      </c>
      <c r="K83" s="6">
        <f>K84+K88+K90+K92</f>
        <v>16.98</v>
      </c>
    </row>
    <row r="84" spans="1:11" x14ac:dyDescent="0.3">
      <c r="A84" s="5"/>
      <c r="B84" t="s">
        <v>14</v>
      </c>
      <c r="E84" t="s">
        <v>0</v>
      </c>
      <c r="I84">
        <f>I85+I86</f>
        <v>6.6199999999999992</v>
      </c>
      <c r="J84">
        <f>J85+J86</f>
        <v>6.38</v>
      </c>
      <c r="K84" s="4">
        <f>K85+K86</f>
        <v>5.2</v>
      </c>
    </row>
    <row r="85" spans="1:11" x14ac:dyDescent="0.3">
      <c r="A85" s="5"/>
      <c r="C85" t="s">
        <v>13</v>
      </c>
      <c r="E85" t="s">
        <v>0</v>
      </c>
      <c r="I85">
        <v>5.0199999999999996</v>
      </c>
      <c r="J85">
        <v>5.0599999999999996</v>
      </c>
      <c r="K85" s="4">
        <v>4.54</v>
      </c>
    </row>
    <row r="86" spans="1:11" x14ac:dyDescent="0.3">
      <c r="A86" s="5"/>
      <c r="C86" t="s">
        <v>12</v>
      </c>
      <c r="E86" t="s">
        <v>0</v>
      </c>
      <c r="I86">
        <v>1.6</v>
      </c>
      <c r="J86">
        <v>1.32</v>
      </c>
      <c r="K86" s="4">
        <v>0.66</v>
      </c>
    </row>
    <row r="87" spans="1:11" x14ac:dyDescent="0.3">
      <c r="A87" s="5"/>
      <c r="C87" t="s">
        <v>11</v>
      </c>
      <c r="E87" t="s">
        <v>0</v>
      </c>
      <c r="I87" t="s">
        <v>10</v>
      </c>
      <c r="J87" t="s">
        <v>10</v>
      </c>
      <c r="K87" s="4" t="s">
        <v>10</v>
      </c>
    </row>
    <row r="88" spans="1:11" x14ac:dyDescent="0.3">
      <c r="A88" s="5"/>
      <c r="B88" t="s">
        <v>9</v>
      </c>
      <c r="E88" t="s">
        <v>0</v>
      </c>
      <c r="I88">
        <v>1.53</v>
      </c>
      <c r="J88">
        <v>0.96</v>
      </c>
      <c r="K88" s="4">
        <v>0.71</v>
      </c>
    </row>
    <row r="89" spans="1:11" x14ac:dyDescent="0.3">
      <c r="A89" s="5"/>
      <c r="C89" t="s">
        <v>8</v>
      </c>
      <c r="E89" t="s">
        <v>0</v>
      </c>
      <c r="I89">
        <v>1.43</v>
      </c>
      <c r="J89">
        <v>0.88</v>
      </c>
      <c r="K89" s="4">
        <v>0.65</v>
      </c>
    </row>
    <row r="90" spans="1:11" x14ac:dyDescent="0.3">
      <c r="A90" s="5"/>
      <c r="B90" t="s">
        <v>7</v>
      </c>
      <c r="E90" t="s">
        <v>0</v>
      </c>
      <c r="I90">
        <v>0.18</v>
      </c>
      <c r="J90">
        <v>0.22</v>
      </c>
      <c r="K90" s="4">
        <v>0.14000000000000001</v>
      </c>
    </row>
    <row r="91" spans="1:11" x14ac:dyDescent="0.3">
      <c r="A91" s="5"/>
      <c r="C91" t="s">
        <v>6</v>
      </c>
      <c r="E91" t="s">
        <v>0</v>
      </c>
      <c r="I91">
        <v>0.17</v>
      </c>
      <c r="J91">
        <v>0.22</v>
      </c>
      <c r="K91" s="4">
        <v>0.12</v>
      </c>
    </row>
    <row r="92" spans="1:11" x14ac:dyDescent="0.3">
      <c r="A92" s="5"/>
      <c r="B92" t="s">
        <v>5</v>
      </c>
      <c r="E92" t="s">
        <v>0</v>
      </c>
      <c r="I92">
        <f>I93+I96</f>
        <v>6.27</v>
      </c>
      <c r="J92">
        <f>J93+J96</f>
        <v>8.58</v>
      </c>
      <c r="K92" s="4">
        <f>K93+K96</f>
        <v>10.930000000000001</v>
      </c>
    </row>
    <row r="93" spans="1:11" x14ac:dyDescent="0.3">
      <c r="A93" s="5"/>
      <c r="C93" t="s">
        <v>4</v>
      </c>
      <c r="E93" t="s">
        <v>0</v>
      </c>
      <c r="I93">
        <v>6.05</v>
      </c>
      <c r="J93">
        <v>8.26</v>
      </c>
      <c r="K93" s="4">
        <v>10.71</v>
      </c>
    </row>
    <row r="94" spans="1:11" x14ac:dyDescent="0.3">
      <c r="A94" s="5"/>
      <c r="D94" t="s">
        <v>3</v>
      </c>
      <c r="E94" t="s">
        <v>0</v>
      </c>
      <c r="I94">
        <v>0.55000000000000004</v>
      </c>
      <c r="J94">
        <v>0.78</v>
      </c>
      <c r="K94" s="4">
        <v>0.57999999999999996</v>
      </c>
    </row>
    <row r="95" spans="1:11" x14ac:dyDescent="0.3">
      <c r="A95" s="5"/>
      <c r="D95" t="s">
        <v>2</v>
      </c>
      <c r="E95" t="s">
        <v>0</v>
      </c>
      <c r="I95">
        <v>3.52</v>
      </c>
      <c r="J95">
        <v>4</v>
      </c>
      <c r="K95" s="4">
        <v>5.77</v>
      </c>
    </row>
    <row r="96" spans="1:11" ht="14.5" thickBot="1" x14ac:dyDescent="0.35">
      <c r="A96" s="3"/>
      <c r="B96" s="2"/>
      <c r="C96" s="2" t="s">
        <v>1</v>
      </c>
      <c r="D96" s="2"/>
      <c r="E96" s="2" t="s">
        <v>0</v>
      </c>
      <c r="F96" s="2"/>
      <c r="G96" s="2"/>
      <c r="H96" s="2"/>
      <c r="I96" s="2">
        <v>0.22</v>
      </c>
      <c r="J96" s="2">
        <v>0.32</v>
      </c>
      <c r="K96" s="1">
        <v>0.22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成本收益表数据整理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2026-03-18T12:35:33Z</dcterms:modified>
</cp:coreProperties>
</file>