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大学办公\0毕业论文\数据来源\使用的数据\"/>
    </mc:Choice>
  </mc:AlternateContent>
  <xr:revisionPtr revIDLastSave="0" documentId="13_ncr:1_{D98440A8-650C-44F3-BC8F-9C257C945354}" xr6:coauthVersionLast="47" xr6:coauthVersionMax="47" xr10:uidLastSave="{00000000-0000-0000-0000-000000000000}"/>
  <bookViews>
    <workbookView xWindow="12710" yWindow="0" windowWidth="12980" windowHeight="15370" activeTab="2" xr2:uid="{00000000-000D-0000-FFFF-FFFF00000000}"/>
  </bookViews>
  <sheets>
    <sheet name="2023" sheetId="1" r:id="rId1"/>
    <sheet name="2017" sheetId="2" r:id="rId2"/>
    <sheet name="2012" sheetId="3" r:id="rId3"/>
  </sheets>
  <definedNames>
    <definedName name="_xlnm._FilterDatabase" localSheetId="2" hidden="1">'2012'!$A$1:$H$239</definedName>
    <definedName name="_xlnm._FilterDatabase" localSheetId="1" hidden="1">'2017'!$A$1:$H$239</definedName>
    <definedName name="_xlnm._FilterDatabase" localSheetId="0" hidden="1">'2023'!$A$1:$H$239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6" i="3" l="1"/>
  <c r="C131" i="3"/>
  <c r="C126" i="3"/>
  <c r="C124" i="3"/>
  <c r="C123" i="3"/>
  <c r="C121" i="3"/>
  <c r="C71" i="3"/>
  <c r="C70" i="3"/>
  <c r="C32" i="3"/>
  <c r="C30" i="3"/>
  <c r="C156" i="2"/>
  <c r="C133" i="2"/>
  <c r="C128" i="2"/>
  <c r="C126" i="2"/>
  <c r="C125" i="2"/>
  <c r="C123" i="2"/>
  <c r="C73" i="2"/>
  <c r="C72" i="2"/>
  <c r="C32" i="2"/>
  <c r="C30" i="2"/>
  <c r="C13" i="3" l="1"/>
  <c r="C11" i="3"/>
  <c r="C25" i="2"/>
  <c r="C21" i="2"/>
  <c r="C20" i="2"/>
  <c r="C13" i="2"/>
  <c r="C11" i="2"/>
  <c r="C9" i="3" l="1"/>
  <c r="C4" i="3"/>
  <c r="C6" i="3" s="1"/>
  <c r="H47" i="2"/>
  <c r="C9" i="2"/>
  <c r="C4" i="2"/>
  <c r="C6" i="2" s="1"/>
  <c r="C23" i="1" l="1"/>
  <c r="C25" i="1"/>
  <c r="C21" i="1"/>
  <c r="C20" i="1"/>
  <c r="C13" i="1"/>
  <c r="C11" i="1"/>
  <c r="H47" i="1" l="1"/>
  <c r="C220" i="1"/>
  <c r="C214" i="1"/>
  <c r="C209" i="1"/>
  <c r="C184" i="1"/>
  <c r="C172" i="1"/>
  <c r="C166" i="1"/>
  <c r="C164" i="1"/>
  <c r="C86" i="1"/>
  <c r="C85" i="1"/>
  <c r="C169" i="1"/>
  <c r="C35" i="1"/>
  <c r="C32" i="1"/>
  <c r="C9" i="1"/>
  <c r="D47" i="1" s="1"/>
  <c r="C4" i="1"/>
  <c r="C6" i="1" s="1"/>
  <c r="D31" i="1" s="1"/>
  <c r="D127" i="1" l="1"/>
  <c r="D239" i="1"/>
  <c r="C234" i="1"/>
  <c r="C143" i="1"/>
  <c r="C145" i="1"/>
  <c r="C45" i="1"/>
  <c r="D156" i="1"/>
  <c r="D45" i="1"/>
  <c r="C144" i="1"/>
  <c r="C44" i="1"/>
  <c r="D143" i="1"/>
  <c r="D27" i="1"/>
  <c r="C217" i="1"/>
  <c r="C114" i="1"/>
  <c r="D222" i="1"/>
  <c r="D125" i="1"/>
  <c r="D126" i="1"/>
  <c r="C216" i="1"/>
  <c r="C113" i="1"/>
  <c r="D221" i="1"/>
  <c r="D124" i="1"/>
  <c r="C215" i="1"/>
  <c r="C112" i="1"/>
  <c r="D220" i="1"/>
  <c r="D111" i="1"/>
  <c r="C233" i="1"/>
  <c r="C213" i="1"/>
  <c r="C111" i="1"/>
  <c r="D207" i="1"/>
  <c r="D95" i="1"/>
  <c r="C199" i="1"/>
  <c r="C98" i="1"/>
  <c r="D191" i="1"/>
  <c r="D94" i="1"/>
  <c r="C198" i="1"/>
  <c r="C80" i="1"/>
  <c r="D190" i="1"/>
  <c r="D93" i="1"/>
  <c r="C130" i="1"/>
  <c r="C182" i="1"/>
  <c r="C79" i="1"/>
  <c r="D189" i="1"/>
  <c r="D92" i="1"/>
  <c r="D223" i="1"/>
  <c r="C181" i="1"/>
  <c r="C78" i="1"/>
  <c r="D188" i="1"/>
  <c r="D79" i="1"/>
  <c r="C180" i="1"/>
  <c r="C77" i="1"/>
  <c r="D175" i="1"/>
  <c r="D63" i="1"/>
  <c r="C179" i="1"/>
  <c r="C64" i="1"/>
  <c r="D159" i="1"/>
  <c r="D62" i="1"/>
  <c r="C162" i="1"/>
  <c r="C48" i="1"/>
  <c r="D158" i="1"/>
  <c r="D61" i="1"/>
  <c r="C146" i="1"/>
  <c r="C47" i="1"/>
  <c r="D157" i="1"/>
  <c r="D60" i="1"/>
  <c r="C212" i="1"/>
  <c r="C178" i="1"/>
  <c r="C142" i="1"/>
  <c r="C110" i="1"/>
  <c r="C76" i="1"/>
  <c r="C43" i="1"/>
  <c r="D219" i="1"/>
  <c r="D187" i="1"/>
  <c r="D155" i="1"/>
  <c r="D123" i="1"/>
  <c r="D91" i="1"/>
  <c r="D59" i="1"/>
  <c r="C211" i="1"/>
  <c r="C177" i="1"/>
  <c r="C141" i="1"/>
  <c r="C109" i="1"/>
  <c r="C75" i="1"/>
  <c r="C42" i="1"/>
  <c r="D218" i="1"/>
  <c r="D186" i="1"/>
  <c r="D154" i="1"/>
  <c r="D122" i="1"/>
  <c r="D90" i="1"/>
  <c r="D58" i="1"/>
  <c r="C210" i="1"/>
  <c r="C176" i="1"/>
  <c r="C140" i="1"/>
  <c r="C108" i="1"/>
  <c r="C74" i="1"/>
  <c r="C41" i="1"/>
  <c r="D217" i="1"/>
  <c r="D185" i="1"/>
  <c r="D153" i="1"/>
  <c r="D121" i="1"/>
  <c r="D89" i="1"/>
  <c r="D57" i="1"/>
  <c r="C235" i="1"/>
  <c r="C200" i="1"/>
  <c r="C163" i="1"/>
  <c r="C131" i="1"/>
  <c r="C99" i="1"/>
  <c r="C65" i="1"/>
  <c r="C30" i="1"/>
  <c r="D208" i="1"/>
  <c r="D176" i="1"/>
  <c r="D144" i="1"/>
  <c r="D112" i="1"/>
  <c r="D80" i="1"/>
  <c r="D48" i="1"/>
  <c r="C161" i="1"/>
  <c r="C129" i="1"/>
  <c r="C97" i="1"/>
  <c r="C63" i="1"/>
  <c r="D238" i="1"/>
  <c r="D206" i="1"/>
  <c r="D174" i="1"/>
  <c r="D142" i="1"/>
  <c r="D110" i="1"/>
  <c r="D78" i="1"/>
  <c r="D44" i="1"/>
  <c r="C232" i="1"/>
  <c r="C197" i="1"/>
  <c r="C160" i="1"/>
  <c r="C128" i="1"/>
  <c r="C96" i="1"/>
  <c r="C62" i="1"/>
  <c r="D237" i="1"/>
  <c r="D205" i="1"/>
  <c r="D173" i="1"/>
  <c r="D141" i="1"/>
  <c r="D109" i="1"/>
  <c r="D77" i="1"/>
  <c r="D43" i="1"/>
  <c r="C231" i="1"/>
  <c r="C196" i="1"/>
  <c r="C159" i="1"/>
  <c r="C127" i="1"/>
  <c r="C95" i="1"/>
  <c r="C61" i="1"/>
  <c r="D236" i="1"/>
  <c r="D204" i="1"/>
  <c r="D172" i="1"/>
  <c r="D140" i="1"/>
  <c r="D108" i="1"/>
  <c r="D76" i="1"/>
  <c r="D42" i="1"/>
  <c r="C230" i="1"/>
  <c r="C195" i="1"/>
  <c r="C158" i="1"/>
  <c r="C126" i="1"/>
  <c r="C94" i="1"/>
  <c r="C60" i="1"/>
  <c r="D235" i="1"/>
  <c r="D203" i="1"/>
  <c r="D171" i="1"/>
  <c r="D139" i="1"/>
  <c r="D107" i="1"/>
  <c r="D75" i="1"/>
  <c r="D41" i="1"/>
  <c r="C229" i="1"/>
  <c r="C194" i="1"/>
  <c r="C157" i="1"/>
  <c r="C125" i="1"/>
  <c r="C93" i="1"/>
  <c r="C59" i="1"/>
  <c r="D234" i="1"/>
  <c r="D202" i="1"/>
  <c r="D170" i="1"/>
  <c r="D138" i="1"/>
  <c r="D106" i="1"/>
  <c r="D74" i="1"/>
  <c r="D40" i="1"/>
  <c r="C228" i="1"/>
  <c r="C193" i="1"/>
  <c r="C156" i="1"/>
  <c r="C124" i="1"/>
  <c r="C92" i="1"/>
  <c r="C58" i="1"/>
  <c r="D233" i="1"/>
  <c r="D201" i="1"/>
  <c r="D169" i="1"/>
  <c r="D137" i="1"/>
  <c r="D105" i="1"/>
  <c r="D73" i="1"/>
  <c r="D39" i="1"/>
  <c r="C218" i="1"/>
  <c r="C183" i="1"/>
  <c r="C147" i="1"/>
  <c r="C115" i="1"/>
  <c r="C81" i="1"/>
  <c r="C49" i="1"/>
  <c r="D224" i="1"/>
  <c r="D192" i="1"/>
  <c r="D160" i="1"/>
  <c r="D128" i="1"/>
  <c r="D96" i="1"/>
  <c r="D64" i="1"/>
  <c r="D30" i="1"/>
  <c r="C227" i="1"/>
  <c r="C208" i="1"/>
  <c r="C192" i="1"/>
  <c r="C175" i="1"/>
  <c r="C155" i="1"/>
  <c r="C139" i="1"/>
  <c r="C123" i="1"/>
  <c r="C107" i="1"/>
  <c r="C91" i="1"/>
  <c r="C73" i="1"/>
  <c r="C57" i="1"/>
  <c r="C40" i="1"/>
  <c r="D232" i="1"/>
  <c r="D216" i="1"/>
  <c r="D200" i="1"/>
  <c r="D184" i="1"/>
  <c r="D168" i="1"/>
  <c r="D152" i="1"/>
  <c r="D136" i="1"/>
  <c r="D120" i="1"/>
  <c r="D104" i="1"/>
  <c r="D88" i="1"/>
  <c r="D72" i="1"/>
  <c r="D56" i="1"/>
  <c r="D38" i="1"/>
  <c r="C226" i="1"/>
  <c r="C207" i="1"/>
  <c r="C191" i="1"/>
  <c r="C174" i="1"/>
  <c r="C154" i="1"/>
  <c r="C138" i="1"/>
  <c r="C122" i="1"/>
  <c r="C106" i="1"/>
  <c r="C90" i="1"/>
  <c r="C72" i="1"/>
  <c r="C56" i="1"/>
  <c r="C39" i="1"/>
  <c r="D231" i="1"/>
  <c r="D215" i="1"/>
  <c r="D199" i="1"/>
  <c r="D183" i="1"/>
  <c r="D167" i="1"/>
  <c r="D151" i="1"/>
  <c r="D135" i="1"/>
  <c r="D119" i="1"/>
  <c r="D103" i="1"/>
  <c r="D87" i="1"/>
  <c r="D71" i="1"/>
  <c r="D55" i="1"/>
  <c r="D37" i="1"/>
  <c r="C225" i="1"/>
  <c r="C206" i="1"/>
  <c r="C190" i="1"/>
  <c r="C173" i="1"/>
  <c r="C153" i="1"/>
  <c r="C137" i="1"/>
  <c r="C121" i="1"/>
  <c r="C105" i="1"/>
  <c r="C89" i="1"/>
  <c r="C71" i="1"/>
  <c r="C55" i="1"/>
  <c r="C38" i="1"/>
  <c r="D230" i="1"/>
  <c r="D214" i="1"/>
  <c r="D198" i="1"/>
  <c r="D182" i="1"/>
  <c r="D166" i="1"/>
  <c r="D150" i="1"/>
  <c r="D134" i="1"/>
  <c r="D118" i="1"/>
  <c r="D102" i="1"/>
  <c r="D86" i="1"/>
  <c r="D70" i="1"/>
  <c r="D54" i="1"/>
  <c r="D36" i="1"/>
  <c r="C27" i="1"/>
  <c r="C224" i="1"/>
  <c r="C205" i="1"/>
  <c r="C189" i="1"/>
  <c r="C171" i="1"/>
  <c r="C152" i="1"/>
  <c r="C136" i="1"/>
  <c r="C120" i="1"/>
  <c r="C104" i="1"/>
  <c r="C88" i="1"/>
  <c r="C70" i="1"/>
  <c r="C54" i="1"/>
  <c r="C37" i="1"/>
  <c r="D229" i="1"/>
  <c r="D213" i="1"/>
  <c r="D197" i="1"/>
  <c r="D181" i="1"/>
  <c r="D165" i="1"/>
  <c r="D149" i="1"/>
  <c r="D133" i="1"/>
  <c r="D117" i="1"/>
  <c r="D101" i="1"/>
  <c r="D85" i="1"/>
  <c r="D69" i="1"/>
  <c r="D53" i="1"/>
  <c r="D35" i="1"/>
  <c r="C239" i="1"/>
  <c r="C223" i="1"/>
  <c r="C204" i="1"/>
  <c r="C188" i="1"/>
  <c r="C170" i="1"/>
  <c r="C151" i="1"/>
  <c r="C135" i="1"/>
  <c r="C119" i="1"/>
  <c r="C103" i="1"/>
  <c r="C87" i="1"/>
  <c r="C69" i="1"/>
  <c r="C53" i="1"/>
  <c r="C36" i="1"/>
  <c r="D228" i="1"/>
  <c r="D212" i="1"/>
  <c r="D196" i="1"/>
  <c r="D180" i="1"/>
  <c r="D164" i="1"/>
  <c r="D148" i="1"/>
  <c r="D132" i="1"/>
  <c r="D116" i="1"/>
  <c r="D100" i="1"/>
  <c r="D84" i="1"/>
  <c r="D68" i="1"/>
  <c r="D52" i="1"/>
  <c r="D34" i="1"/>
  <c r="C238" i="1"/>
  <c r="C222" i="1"/>
  <c r="C203" i="1"/>
  <c r="C187" i="1"/>
  <c r="C168" i="1"/>
  <c r="C150" i="1"/>
  <c r="C134" i="1"/>
  <c r="C118" i="1"/>
  <c r="C102" i="1"/>
  <c r="C84" i="1"/>
  <c r="C68" i="1"/>
  <c r="C52" i="1"/>
  <c r="C34" i="1"/>
  <c r="D227" i="1"/>
  <c r="D211" i="1"/>
  <c r="D195" i="1"/>
  <c r="D179" i="1"/>
  <c r="D163" i="1"/>
  <c r="D147" i="1"/>
  <c r="D131" i="1"/>
  <c r="D115" i="1"/>
  <c r="D99" i="1"/>
  <c r="D83" i="1"/>
  <c r="D67" i="1"/>
  <c r="D51" i="1"/>
  <c r="D33" i="1"/>
  <c r="C237" i="1"/>
  <c r="C221" i="1"/>
  <c r="C202" i="1"/>
  <c r="C186" i="1"/>
  <c r="C167" i="1"/>
  <c r="C149" i="1"/>
  <c r="C133" i="1"/>
  <c r="C117" i="1"/>
  <c r="C101" i="1"/>
  <c r="C83" i="1"/>
  <c r="C67" i="1"/>
  <c r="C51" i="1"/>
  <c r="C33" i="1"/>
  <c r="D226" i="1"/>
  <c r="D210" i="1"/>
  <c r="D194" i="1"/>
  <c r="D178" i="1"/>
  <c r="D162" i="1"/>
  <c r="D146" i="1"/>
  <c r="D130" i="1"/>
  <c r="D114" i="1"/>
  <c r="D98" i="1"/>
  <c r="D82" i="1"/>
  <c r="D66" i="1"/>
  <c r="D50" i="1"/>
  <c r="D32" i="1"/>
  <c r="C236" i="1"/>
  <c r="C219" i="1"/>
  <c r="C201" i="1"/>
  <c r="C185" i="1"/>
  <c r="C165" i="1"/>
  <c r="C148" i="1"/>
  <c r="C132" i="1"/>
  <c r="C116" i="1"/>
  <c r="C100" i="1"/>
  <c r="C82" i="1"/>
  <c r="C66" i="1"/>
  <c r="C50" i="1"/>
  <c r="C31" i="1"/>
  <c r="D225" i="1"/>
  <c r="D209" i="1"/>
  <c r="D193" i="1"/>
  <c r="D177" i="1"/>
  <c r="D161" i="1"/>
  <c r="D145" i="1"/>
  <c r="D129" i="1"/>
  <c r="D113" i="1"/>
  <c r="D97" i="1"/>
  <c r="D81" i="1"/>
  <c r="D65" i="1"/>
  <c r="D49" i="1"/>
</calcChain>
</file>

<file path=xl/sharedStrings.xml><?xml version="1.0" encoding="utf-8"?>
<sst xmlns="http://schemas.openxmlformats.org/spreadsheetml/2006/main" count="888" uniqueCount="434">
  <si>
    <t>经济数据</t>
    <phoneticPr fontId="1" type="noConversion"/>
  </si>
  <si>
    <t>数值</t>
    <phoneticPr fontId="1" type="noConversion"/>
  </si>
  <si>
    <t>来源</t>
    <phoneticPr fontId="1" type="noConversion"/>
  </si>
  <si>
    <t>年份</t>
    <phoneticPr fontId="1" type="noConversion"/>
  </si>
  <si>
    <t>计算</t>
    <phoneticPr fontId="1" type="noConversion"/>
  </si>
  <si>
    <t>亩产*面积</t>
    <phoneticPr fontId="1" type="noConversion"/>
  </si>
  <si>
    <t>谷物</t>
  </si>
  <si>
    <t>林产品</t>
  </si>
  <si>
    <t>家禽</t>
  </si>
  <si>
    <t>牲畜和其他畜牧产品</t>
  </si>
  <si>
    <t>水产养殖产品</t>
  </si>
  <si>
    <t>水产捕捞产品</t>
  </si>
  <si>
    <t>农、林、牧、渔服务产品</t>
  </si>
  <si>
    <t>煤炭开采和洗选产品</t>
  </si>
  <si>
    <t>石油开采产品</t>
  </si>
  <si>
    <t>天然气开采产品</t>
  </si>
  <si>
    <t>黑色金属矿采选产品</t>
  </si>
  <si>
    <t>有色金属矿采选产品</t>
  </si>
  <si>
    <t>土砂石开采产品</t>
  </si>
  <si>
    <t>其他非金属矿采选产品</t>
  </si>
  <si>
    <t>开采辅助活动和其他采矿产品</t>
  </si>
  <si>
    <t>谷物磨制品</t>
  </si>
  <si>
    <t>饲料加工品</t>
  </si>
  <si>
    <t>糖及糖制品</t>
  </si>
  <si>
    <t>屠宰及肉类加工品</t>
  </si>
  <si>
    <t>水产加工品</t>
  </si>
  <si>
    <t>蔬菜、菌类、水果和坚果加工品</t>
  </si>
  <si>
    <t>其他农副食品加工品</t>
  </si>
  <si>
    <t>方便食品</t>
  </si>
  <si>
    <t>乳制品</t>
  </si>
  <si>
    <t>调味品、发酵制品</t>
  </si>
  <si>
    <t>其他食品</t>
  </si>
  <si>
    <t>酒精和酒</t>
  </si>
  <si>
    <t>饮料</t>
  </si>
  <si>
    <t>精制茶</t>
  </si>
  <si>
    <t>烟草制品</t>
  </si>
  <si>
    <t>棉纺织及印染精加工品</t>
  </si>
  <si>
    <t>毛纺织及染整精加工品</t>
  </si>
  <si>
    <t>麻、丝绢纺织及加工品</t>
  </si>
  <si>
    <t>化纤织造及印染精加工品</t>
  </si>
  <si>
    <t>针织或钩针编织及其制品</t>
  </si>
  <si>
    <t>家用纺织制成品</t>
  </si>
  <si>
    <t>产业用纺织制成品</t>
  </si>
  <si>
    <t>机织服装</t>
  </si>
  <si>
    <t>针织或钩针编织服装</t>
  </si>
  <si>
    <t>服饰</t>
  </si>
  <si>
    <t>皮革、毛皮、羽毛及其制品</t>
  </si>
  <si>
    <t>鞋</t>
  </si>
  <si>
    <t>木材加工品</t>
  </si>
  <si>
    <t>人造板制品</t>
  </si>
  <si>
    <t>木质制品和竹、藤、棕、草制品</t>
  </si>
  <si>
    <t>家具</t>
  </si>
  <si>
    <t>纸浆和造纸</t>
  </si>
  <si>
    <t>纸制品</t>
  </si>
  <si>
    <t>印刷和记录媒介复制品</t>
  </si>
  <si>
    <t>工艺美术品</t>
  </si>
  <si>
    <t>文教、体育和娱乐用品</t>
  </si>
  <si>
    <t>精炼石油和核燃料加工品</t>
  </si>
  <si>
    <t>煤炭加工品</t>
  </si>
  <si>
    <t>基础化学原料</t>
  </si>
  <si>
    <t>肥料</t>
  </si>
  <si>
    <t>农药</t>
  </si>
  <si>
    <t>涂料、油墨、颜料及类似产品</t>
  </si>
  <si>
    <t>合成材料</t>
  </si>
  <si>
    <t>专用化学产品和炸药、火工、焰火产品</t>
  </si>
  <si>
    <t>日用化学产品</t>
  </si>
  <si>
    <t>化学药品原料药</t>
  </si>
  <si>
    <t>化学药品制剂</t>
  </si>
  <si>
    <t>中药饮片及中成药</t>
  </si>
  <si>
    <t>其他医药制品</t>
  </si>
  <si>
    <t>化学纤维制品</t>
  </si>
  <si>
    <t>轮胎</t>
  </si>
  <si>
    <t>其他橡胶制品</t>
  </si>
  <si>
    <t>塑料薄膜</t>
  </si>
  <si>
    <t>日用塑料制品</t>
  </si>
  <si>
    <t>其他塑料制品</t>
  </si>
  <si>
    <t>水泥、石灰和石膏</t>
  </si>
  <si>
    <t>石膏、水泥制品及类似制品</t>
  </si>
  <si>
    <t>砖瓦、石材等建筑材料</t>
  </si>
  <si>
    <t>玻璃</t>
  </si>
  <si>
    <t>玻璃制品</t>
  </si>
  <si>
    <t>建筑、卫生陶瓷制品</t>
  </si>
  <si>
    <t>其他陶瓷制品</t>
  </si>
  <si>
    <t>耐火材料制品</t>
  </si>
  <si>
    <t>铁</t>
  </si>
  <si>
    <t>钢</t>
  </si>
  <si>
    <t>钢压延产品</t>
  </si>
  <si>
    <t>铁合金</t>
  </si>
  <si>
    <t>常用有色金属</t>
  </si>
  <si>
    <t>贵金属和稀有金属</t>
  </si>
  <si>
    <t>有色金属合金</t>
  </si>
  <si>
    <t>铜压延加工品</t>
  </si>
  <si>
    <t>铝压延加工品</t>
  </si>
  <si>
    <t>其他有色金属压延加工品</t>
  </si>
  <si>
    <t>结构性金属制品</t>
  </si>
  <si>
    <t>金属工具、金属丝绳及其制品</t>
  </si>
  <si>
    <t>集装箱及金属包装容器</t>
  </si>
  <si>
    <t>建筑、安全用金属制品</t>
  </si>
  <si>
    <t>金属制日用品</t>
  </si>
  <si>
    <t>金属处理、搪瓷制品、铸造及其他金属制品</t>
  </si>
  <si>
    <t>金属加工机械</t>
  </si>
  <si>
    <t>物料搬运设备</t>
  </si>
  <si>
    <t>泵、阀门、压缩机及类似机械</t>
  </si>
  <si>
    <t>轴承、齿轮和传动部件</t>
  </si>
  <si>
    <t>烘炉、风机、包装等设备</t>
  </si>
  <si>
    <t>文化、办公用机械</t>
  </si>
  <si>
    <t>通用零部件</t>
  </si>
  <si>
    <t>其他通用设备</t>
  </si>
  <si>
    <t>采矿、冶金、建筑专用设备</t>
  </si>
  <si>
    <t>化工、木材、非金属加工专用设备</t>
  </si>
  <si>
    <t>电子和电工机械专用设备</t>
  </si>
  <si>
    <t>农、林、牧、渔专用机械</t>
  </si>
  <si>
    <t>医疗仪器设备及器械</t>
  </si>
  <si>
    <t>其他专用设备</t>
  </si>
  <si>
    <t>汽柴油车整车</t>
  </si>
  <si>
    <t>新能源车整车</t>
  </si>
  <si>
    <t>汽车用发动机、车身、挂车和其他汽车</t>
  </si>
  <si>
    <t>汽车零部件及配件</t>
  </si>
  <si>
    <t>铁路运输和城市轨道交通设备</t>
  </si>
  <si>
    <t>船舶及相关装置</t>
  </si>
  <si>
    <t>其他交通运输设备</t>
  </si>
  <si>
    <t>电机</t>
  </si>
  <si>
    <t>输配电及控制设备</t>
  </si>
  <si>
    <t>电线、电缆、光缆及电工器材</t>
  </si>
  <si>
    <t>电池</t>
  </si>
  <si>
    <t>家用器具</t>
  </si>
  <si>
    <t>其他电气机械和器材</t>
  </si>
  <si>
    <t>计算机整机</t>
  </si>
  <si>
    <t>计算机零部件、其他计算机及相关设备</t>
  </si>
  <si>
    <t>通信系统设备</t>
  </si>
  <si>
    <t>通信终端设备</t>
  </si>
  <si>
    <t>广播电视设备和雷达及配套设备</t>
  </si>
  <si>
    <t>非专业视听设备</t>
  </si>
  <si>
    <t>电子器件</t>
  </si>
  <si>
    <t>电子元件及电子专用材料</t>
  </si>
  <si>
    <t>智能消费设备和其他电子设备</t>
  </si>
  <si>
    <t>仪器仪表</t>
  </si>
  <si>
    <t>其他制造产品</t>
  </si>
  <si>
    <t>废弃资源和废旧材料回收加工品</t>
  </si>
  <si>
    <t>金属制品、机械和设备修理服务</t>
  </si>
  <si>
    <t>火力发电和热电联产</t>
  </si>
  <si>
    <t>其他电力生产</t>
  </si>
  <si>
    <t>电力供应</t>
  </si>
  <si>
    <t>热力生产和供应</t>
  </si>
  <si>
    <t>燃气生产和供应</t>
  </si>
  <si>
    <t>水的生产和供应</t>
  </si>
  <si>
    <t>住宅房屋建筑</t>
  </si>
  <si>
    <t>体育场馆和其他房屋建筑</t>
  </si>
  <si>
    <t>铁路、道路、隧道和桥梁工程建筑</t>
  </si>
  <si>
    <t>水利、水运工程和海洋工程建筑</t>
  </si>
  <si>
    <t>工矿工程建筑</t>
  </si>
  <si>
    <t>架线、管道工程建筑和节能环保工程</t>
  </si>
  <si>
    <t>电力工程</t>
  </si>
  <si>
    <t>其他土木工程建筑</t>
  </si>
  <si>
    <t>建筑安装</t>
  </si>
  <si>
    <t>建筑装饰和装修</t>
  </si>
  <si>
    <t>其他建筑服务</t>
  </si>
  <si>
    <t>批发</t>
  </si>
  <si>
    <t>零售</t>
  </si>
  <si>
    <t>铁路旅客运输</t>
  </si>
  <si>
    <t>铁路货物运输和运输辅助活动</t>
  </si>
  <si>
    <t>城市公共交通及公路客运</t>
  </si>
  <si>
    <t>道路货物运输和运输辅助活动</t>
  </si>
  <si>
    <t>水上旅客运输</t>
  </si>
  <si>
    <t>水上货物运输和运输辅助活动</t>
  </si>
  <si>
    <t>航空旅客运输</t>
  </si>
  <si>
    <t>航空货物运输和运输辅助活动</t>
  </si>
  <si>
    <t>管道运输</t>
  </si>
  <si>
    <t>多式联运和运输代理</t>
  </si>
  <si>
    <t>装卸搬运</t>
  </si>
  <si>
    <t>仓储</t>
  </si>
  <si>
    <t>邮政</t>
  </si>
  <si>
    <t>住宿</t>
  </si>
  <si>
    <t>餐饮</t>
  </si>
  <si>
    <t>电信</t>
  </si>
  <si>
    <t>广播电视及卫星传输服务</t>
  </si>
  <si>
    <t>互联网和相关服务</t>
  </si>
  <si>
    <t>软件服务</t>
  </si>
  <si>
    <t>信息技术服务</t>
  </si>
  <si>
    <t>中央银行、货币银行和银行监管服务</t>
  </si>
  <si>
    <t>非货币银行和银行理财服务</t>
  </si>
  <si>
    <t>资本市场服务</t>
  </si>
  <si>
    <t>保险</t>
  </si>
  <si>
    <t>其他金融服务</t>
  </si>
  <si>
    <t>房地产</t>
  </si>
  <si>
    <t>租赁</t>
  </si>
  <si>
    <t>法律、咨询、广告和人力资源服务</t>
  </si>
  <si>
    <t>其他商务服务</t>
  </si>
  <si>
    <t>研究和试验发展</t>
  </si>
  <si>
    <t>气象、地震、海洋、环境和地质服务</t>
  </si>
  <si>
    <t>质检技术服务</t>
  </si>
  <si>
    <t>工程技术与设计服务</t>
  </si>
  <si>
    <t>工业与专业设计及其他专业技术服务</t>
  </si>
  <si>
    <t>技术推广服务</t>
  </si>
  <si>
    <t>其他科技推广和应用服务</t>
  </si>
  <si>
    <t>水利管理</t>
  </si>
  <si>
    <t>生态保护与环境治理</t>
  </si>
  <si>
    <t>公共设施管理</t>
  </si>
  <si>
    <t>土地管理</t>
  </si>
  <si>
    <t>居民服务</t>
  </si>
  <si>
    <t>机动车、电子产品和日用品修理服务</t>
  </si>
  <si>
    <t>其他服务</t>
  </si>
  <si>
    <t>教育</t>
  </si>
  <si>
    <t>卫生</t>
  </si>
  <si>
    <t>社会工作</t>
  </si>
  <si>
    <t>新闻和出版</t>
  </si>
  <si>
    <t>广播、电视、电影和影视录音制作</t>
  </si>
  <si>
    <t>文化艺术</t>
  </si>
  <si>
    <t>体育</t>
  </si>
  <si>
    <t>娱乐</t>
  </si>
  <si>
    <t>中国共产党机关、国家机构、人民政协和民主党派</t>
  </si>
  <si>
    <t>社会保障</t>
  </si>
  <si>
    <t>群众团体、社会团体、其他成员组织及基层群众自治组织</t>
  </si>
  <si>
    <t>成本收益汇编</t>
    <phoneticPr fontId="1" type="noConversion"/>
  </si>
  <si>
    <t>我的思路是，通过成本收益汇编的具体的每亩某部门费用，乘上当年的种植面积，可以得到当年某一部门对油菜的中间投入总额。然后和该部门对农业部门的投入进行对照。当然，理论上，如果某部门对农业部门的中间投入为0，那么该部门对油菜子部门的投入不可能不是0，如果出现了这样的问题，应当参照投入产出表附录对部门划分的说明，解释为什么，并将成本收益汇编中的数据合理地分配到对应的部门中。另外还有一个值得注意的问题，成本收益汇编中存在油菜种植环节涉及碳排放的一些数据，可供环境扩展参考。这种思路也就要求我对油菜全产业链的其他部门进行一定的分解，例如植物油部门的分解。这种分解应该按照生产环节的顺序一个个来。也就是说，在种植之前，我需要识别出更上游产业链中分配给油菜的部分，分解之。天哪，简直是恐怖的工作量。但是，我并不用全部分解，原则是抓大放小。比如，我应该关注油菜种植部门、植物油部门等，上游的内部结构对于计算油菜种植环节的直接排放没有影响，间接排放也只需要把握投入结构后用对应上游部门的排放系数乘一下，这是由IO表自身的性质决定的。那么下游应该拆分到哪里呢？主要去向是植物油加工、饲料加工、留种自用、少量的直接消费和出口。植物油加工和饲料加工又分别导向餐饮、食品加工和畜牧业。但是后面的环节就不用拆分了，因为如果这些部门最终消耗食用油或菜籽饼粕，那就是它的投入结构，无需拆分了，物流运输作为一种服务业部门，它的碳排放已经包含在服务业的排放系数中，通过交通运输部门的排放系数自动计算，并且按常理来看，每一个环节都有运输业的参与。当然，这也可以是一种不足之处吧。毕竟做运输的排放，是需要从运输距离方式等方式来拆分的，而不是把部门拆分为公路铁路水路来拆分的（尽管不同的运输方式对应不同的排放强度）。</t>
    <phoneticPr fontId="1" type="noConversion"/>
  </si>
  <si>
    <t>谷物种植，指以收获籽实为主的农作物的种植，包括稻
谷、小麦、玉米等农作物的种植和作为饲料和
工业原料的谷物的种植</t>
    <phoneticPr fontId="1" type="noConversion"/>
  </si>
  <si>
    <t>和油菜无关。</t>
    <phoneticPr fontId="1" type="noConversion"/>
  </si>
  <si>
    <t>牲畜饲养、狩猎和捕捉动物、其他畜牧业</t>
    <phoneticPr fontId="1" type="noConversion"/>
  </si>
  <si>
    <t>包括宠物饲料加工和其他饲料加工，后者如饲养牲畜、家禽、水产品，或废弃物（鱼骨、内脏）为原料的加工</t>
    <phoneticPr fontId="1" type="noConversion"/>
  </si>
  <si>
    <t>包括食用油和非食用植物油料。前者指各种食用植物油料生产油脂，以及精制食用油的加工；后者适用于化工，例如梧桐油等，又如植物蜡等</t>
    <phoneticPr fontId="1" type="noConversion"/>
  </si>
  <si>
    <t>备注1</t>
    <phoneticPr fontId="1" type="noConversion"/>
  </si>
  <si>
    <t>备注2</t>
    <phoneticPr fontId="1" type="noConversion"/>
  </si>
  <si>
    <t>“中国油菜种植环节中氮肥施用占比逐渐降低，复合肥施用比例提高，柴油消耗占比增高，
农田N2O直接排放仍是重要碳足迹来源，未来，需要继续加强农业生产技术创新和环保政
策引导，推动油菜种植向更加低碳、环保的方向发展。”</t>
    <phoneticPr fontId="1" type="noConversion"/>
  </si>
  <si>
    <t>包含豆类、油料、薯类种植，棉麻糖烟草种植，蔬菜食用菌及园艺作物种植，水果种植，坚果、含油果、香料和饮料作物种植、中药材种植、草种植及割草。</t>
    <phoneticPr fontId="1" type="noConversion"/>
  </si>
  <si>
    <t>农药费/</t>
    <phoneticPr fontId="1" type="noConversion"/>
  </si>
  <si>
    <t>农膜费</t>
    <phoneticPr fontId="1" type="noConversion"/>
  </si>
  <si>
    <t>技术服务费</t>
    <phoneticPr fontId="1" type="noConversion"/>
  </si>
  <si>
    <t>指对农业提供的各种专业及辅助性生产活动，不包括各种科学技术和专业技术服务。其中农业部分包括种子种苗培育活动、农业机械活动、灌溉活动、农产品初加工活动、农作物病虫害防治活动、其他农业专业及辅助性活动（代耕代种代收、大田托管等农业活动）。饼粕是哪个阶段的加工产品？是植物油加工的副产品，不是本阶段的。</t>
    <phoneticPr fontId="1" type="noConversion"/>
  </si>
  <si>
    <t>种子费+机械作业费+排灌费（除去水费）/</t>
    <phoneticPr fontId="1" type="noConversion"/>
  </si>
  <si>
    <t>水费</t>
    <phoneticPr fontId="1" type="noConversion"/>
  </si>
  <si>
    <t>修理维护费</t>
    <phoneticPr fontId="1" type="noConversion"/>
  </si>
  <si>
    <t>保险费</t>
    <phoneticPr fontId="1" type="noConversion"/>
  </si>
  <si>
    <t xml:space="preserve">	销售费</t>
    <phoneticPr fontId="1" type="noConversion"/>
  </si>
  <si>
    <t>管理费+财务费</t>
    <phoneticPr fontId="1" type="noConversion"/>
  </si>
  <si>
    <t>3322 手工工具制造 或 4190 其他未列明制造业</t>
    <phoneticPr fontId="1" type="noConversion"/>
  </si>
  <si>
    <t>家禽饲养，疑似和油菜无关。</t>
    <phoneticPr fontId="1" type="noConversion"/>
  </si>
  <si>
    <t>石墨及其他非金属矿物制品</t>
    <phoneticPr fontId="1" type="noConversion"/>
  </si>
  <si>
    <t>锅炉及原动设备</t>
    <phoneticPr fontId="1" type="noConversion"/>
  </si>
  <si>
    <t>手动填0，不是种植的直接投入。</t>
    <phoneticPr fontId="1" type="noConversion"/>
  </si>
  <si>
    <t>判断为0</t>
    <phoneticPr fontId="1" type="noConversion"/>
  </si>
  <si>
    <t>判断为0，因为化肥农药已有专门部门</t>
    <phoneticPr fontId="1" type="noConversion"/>
  </si>
  <si>
    <t>判断为0，因为农膜已有专门部门</t>
    <phoneticPr fontId="1" type="noConversion"/>
  </si>
  <si>
    <t>判断为0，油菜不直接消耗钢材。农业机械等已通过“农业服务”或“修理服务”间接体现。</t>
    <phoneticPr fontId="1" type="noConversion"/>
  </si>
  <si>
    <t>判断为0，因为工具材料费已经归入其他制造产品，金额均极小，可以抓大放小原则放一下，成本收益没有直接对应。</t>
    <phoneticPr fontId="1" type="noConversion"/>
  </si>
  <si>
    <t>判断为0，因为油菜种植不直接购买这些，农业机械主要通过农业服务中的机械作业费体现。理论上可以有固定资产投入。</t>
    <phoneticPr fontId="1" type="noConversion"/>
  </si>
  <si>
    <t>农业机械的购买属于当年的固定资产投资，不计入中间投入。成本收益表核算的机械作业费是服务费，已归入“农业服务”。</t>
    <phoneticPr fontId="1" type="noConversion"/>
  </si>
  <si>
    <t>判断为0，并非直接消耗</t>
    <phoneticPr fontId="1" type="noConversion"/>
  </si>
  <si>
    <t>判断为0，主要是成本收益数据无费用</t>
    <phoneticPr fontId="1" type="noConversion"/>
  </si>
  <si>
    <t>判断为0，排灌费被归入农业服务，水费在水的生产与供应</t>
    <phoneticPr fontId="1" type="noConversion"/>
  </si>
  <si>
    <t>指对各种煤炭的开采、洗选、分级等生产活 动；不包括煤制品的生产和煤炭勘探活动</t>
  </si>
  <si>
    <t>判断为0，因为农业用电已经归入电力供应，煤炭是电力生产的中间投入，不是油菜的直接投入，怀疑是园艺作物或某些特殊农产品种植的时候需要用煤炭弄一下灭菌、培土等/</t>
    <phoneticPr fontId="1" type="noConversion"/>
  </si>
  <si>
    <t>判断为0，例如石灰石、石膏等主要用于土壤调理剂，比如花生、蘑菇、柑橘、茶树等，起到调节酸碱作用。油菜这方面的资料很少。</t>
    <phoneticPr fontId="1" type="noConversion"/>
  </si>
  <si>
    <t>判断为0，同理，关于化肥问题，已经被涵盖在专门的部门里了。这部门的粘土基质等往往用于花卉烟草等</t>
    <phoneticPr fontId="1" type="noConversion"/>
  </si>
  <si>
    <t>确认油菜部分之后做减法即可，油菜和其他农产品相互之间的投入量应该都为0。这里我顺带强调一个严肃的问题，不同子部门的投入结构差异巨大：林业几乎不用化肥，畜牧业需要饲料，渔业需要鱼苗，等等。利用成本收益表是宏微观之间连结的一个创新，但是也是比较大胆、可能出问题的，因为很多部门只能参照国标和投入产出部门划分进行人工判断。但我相信，如果不进行这样的判断，就没办法真实地把握油菜子部门的投入结构。最后，投入产出表的中间投入概念，在价值型表中，毫无疑问是按照钱流算的，种植业部门将钱付给了这些部门，就会被统计到。这也是和成本收益表之间对立统一关系的体现。</t>
    <phoneticPr fontId="1" type="noConversion"/>
  </si>
  <si>
    <t>判断为0，解释一下为什么谷物磨制品和下面两个会有对农产品投入，例如榨油后的饼粕可能会被果蔬茶烟农户收购后施入土壤、谷物的副产品会进入种植的基质饵料等，饲料加工企业的产出也可以返回到种植环节中。为什么这里写0呢？因为确实没有油菜产业需要这三类产品的证据。</t>
    <phoneticPr fontId="1" type="noConversion"/>
  </si>
  <si>
    <t>判断为0，无纺布、遮阳网、防虫网是直接投入，但油菜基本不用</t>
    <phoneticPr fontId="1" type="noConversion"/>
  </si>
  <si>
    <t>中国统计年鉴</t>
    <phoneticPr fontId="1" type="noConversion"/>
  </si>
  <si>
    <t>油菜播种面积（亩）</t>
    <phoneticPr fontId="1" type="noConversion"/>
  </si>
  <si>
    <t>油菜</t>
    <phoneticPr fontId="1" type="noConversion"/>
  </si>
  <si>
    <t>其他农产品（不含油菜）</t>
    <phoneticPr fontId="1" type="noConversion"/>
  </si>
  <si>
    <t>油菜每亩产值（元）</t>
    <phoneticPr fontId="1" type="noConversion"/>
  </si>
  <si>
    <t>油菜产值（元）</t>
    <phoneticPr fontId="1" type="noConversion"/>
  </si>
  <si>
    <t>本列代表投入，主要来自成本收益汇编</t>
    <phoneticPr fontId="1" type="noConversion"/>
  </si>
  <si>
    <t>本列代表分配，主要来自食品工业年鉴等</t>
    <phoneticPr fontId="1" type="noConversion"/>
  </si>
  <si>
    <t>植物油加工品（不含油菜）</t>
    <phoneticPr fontId="1" type="noConversion"/>
  </si>
  <si>
    <t>其他农产品部门的总产值（元）</t>
    <phoneticPr fontId="1" type="noConversion"/>
  </si>
  <si>
    <t>植物油加工总产值（元）</t>
    <phoneticPr fontId="1" type="noConversion"/>
  </si>
  <si>
    <t>投入产出表自身</t>
    <phoneticPr fontId="1" type="noConversion"/>
  </si>
  <si>
    <t>菜籽油加工典型企业销售收入（元）</t>
    <phoneticPr fontId="1" type="noConversion"/>
  </si>
  <si>
    <t>中国食品工业年鉴</t>
    <phoneticPr fontId="1" type="noConversion"/>
  </si>
  <si>
    <t>油菜产值在其他农产品部门占比（即剥离系数1）</t>
    <phoneticPr fontId="1" type="noConversion"/>
  </si>
  <si>
    <t>菜籽油加工在植物油加工部门占比（即剥离系数2）</t>
    <phoneticPr fontId="1" type="noConversion"/>
  </si>
  <si>
    <t>菜籽油加工品</t>
    <phoneticPr fontId="1" type="noConversion"/>
  </si>
  <si>
    <t>原表投入</t>
    <phoneticPr fontId="1" type="noConversion"/>
  </si>
  <si>
    <t>原表分配</t>
    <phoneticPr fontId="1" type="noConversion"/>
  </si>
  <si>
    <t>各部门对油菜产品投入量/油菜产品分配给各部门的量（万元）</t>
    <phoneticPr fontId="1" type="noConversion"/>
  </si>
  <si>
    <t>畜力费/</t>
    <phoneticPr fontId="1" type="noConversion"/>
  </si>
  <si>
    <t>农家肥费+化肥费/</t>
    <phoneticPr fontId="1" type="noConversion"/>
  </si>
  <si>
    <t>　包括两部分，食用植物油料生产油脂，以及精制食用油的加工；非食用植物油料生产油脂的活动。减去油菜部分即可。显然油菜种植环节和这个无关。</t>
    <phoneticPr fontId="1" type="noConversion"/>
  </si>
  <si>
    <t>燃料动力费，考虑到燃料动力费没有具体区分柴、汽、煤、电，又考虑到前三者都会按照一定效率转化为电能被利用，根据投入产出表可以溯源到对应部门的碳排放。因此燃料动力费被核算到本部门/</t>
    <phoneticPr fontId="1" type="noConversion"/>
  </si>
  <si>
    <t>判断为0，菜籽油不会被重新用到种植/分配部分按剥离系数</t>
    <phoneticPr fontId="1" type="noConversion"/>
  </si>
  <si>
    <t>工具材料费,这里投入数据存在问题，超过了原有部门的数值，是因为把各类工具材料都放到本制造产品里了。</t>
    <phoneticPr fontId="1" type="noConversion"/>
  </si>
  <si>
    <t>增加值结构：劳动者报酬、生产税净额、固定资产折旧、营业盈余</t>
    <phoneticPr fontId="1" type="noConversion"/>
  </si>
  <si>
    <t>包含家庭用工折价与雇工费用</t>
    <phoneticPr fontId="1" type="noConversion"/>
  </si>
  <si>
    <t>直接对应</t>
    <phoneticPr fontId="1" type="noConversion"/>
  </si>
  <si>
    <t>补贴，按原部门比例推算，作为调整项存在</t>
    <phoneticPr fontId="1" type="noConversion"/>
  </si>
  <si>
    <t>固定资产折旧（万元）</t>
    <phoneticPr fontId="1" type="noConversion"/>
  </si>
  <si>
    <t>劳动者报酬（万元）</t>
    <phoneticPr fontId="1" type="noConversion"/>
  </si>
  <si>
    <t>营业盈余（万元）</t>
    <phoneticPr fontId="1" type="noConversion"/>
  </si>
  <si>
    <t>投入产出表数据按比例计算</t>
    <phoneticPr fontId="1" type="noConversion"/>
  </si>
  <si>
    <t>生产税净额（万元）</t>
    <phoneticPr fontId="1" type="noConversion"/>
  </si>
  <si>
    <t>总投入（即理论总产出）（万元）</t>
    <phoneticPr fontId="1" type="noConversion"/>
  </si>
  <si>
    <t>总投入确定后</t>
    <phoneticPr fontId="1" type="noConversion"/>
  </si>
  <si>
    <t>这里和下面都是油菜产业，非油菜农产品可以直接互补。</t>
    <phoneticPr fontId="1" type="noConversion"/>
  </si>
  <si>
    <t>海关统计数据查询平台</t>
  </si>
  <si>
    <t>油菜进口（万元）</t>
    <phoneticPr fontId="1" type="noConversion"/>
  </si>
  <si>
    <t>油菜出口（万元）</t>
    <phoneticPr fontId="1" type="noConversion"/>
  </si>
  <si>
    <t>选择了4位</t>
    <phoneticPr fontId="1" type="noConversion"/>
  </si>
  <si>
    <t>菜籽油进口（万元）</t>
    <phoneticPr fontId="1" type="noConversion"/>
  </si>
  <si>
    <t>菜籽油出口（万元）</t>
    <phoneticPr fontId="1" type="noConversion"/>
  </si>
  <si>
    <t>成本收益汇编中，如果理解为净利润 + 成本外支出（若为正），数值很大很可怕，我怀疑是口径不一致。一开始作为调整项，后来发现不合理，于是我认为应该去总产出解决问题。</t>
    <phoneticPr fontId="1" type="noConversion"/>
  </si>
  <si>
    <t>实际上确实如此，油菜的进出口、油菜的消费结构很重要。</t>
    <phoneticPr fontId="1" type="noConversion"/>
  </si>
  <si>
    <t>中国农产品供需形势分析 Chinese Agricultural Supply and Demand Estimates（CASDE）</t>
  </si>
  <si>
    <t>个人采用22.10-23.9来作为2023年的参考</t>
    <phoneticPr fontId="1" type="noConversion"/>
  </si>
  <si>
    <t>投入产出表比例</t>
    <phoneticPr fontId="1" type="noConversion"/>
  </si>
  <si>
    <t>城市/(城市+乡村)</t>
    <phoneticPr fontId="1" type="noConversion"/>
  </si>
  <si>
    <t>城镇其他农产品消费比例（适用菜籽油）</t>
    <phoneticPr fontId="1" type="noConversion"/>
  </si>
  <si>
    <t>菜籽油国内居民消费（万元）</t>
    <phoneticPr fontId="1" type="noConversion"/>
  </si>
  <si>
    <t>海关菜籽油进口（万元）</t>
    <phoneticPr fontId="1" type="noConversion"/>
  </si>
  <si>
    <t>海关菜籽油出口（万元）</t>
    <phoneticPr fontId="1" type="noConversion"/>
  </si>
  <si>
    <t>不要被原表束缚</t>
    <phoneticPr fontId="1" type="noConversion"/>
  </si>
  <si>
    <t>植物油结余变化（万元）</t>
    <phoneticPr fontId="1" type="noConversion"/>
  </si>
  <si>
    <t>实际应用的菜籽油国内居民消费</t>
    <phoneticPr fontId="1" type="noConversion"/>
  </si>
  <si>
    <t>调整项</t>
    <phoneticPr fontId="1" type="noConversion"/>
  </si>
  <si>
    <t>最后发现消费项才是调整项，因为细分数据的严重缺失</t>
    <phoneticPr fontId="1" type="noConversion"/>
  </si>
  <si>
    <t>针对不同的年鉴交叉验证时发现，中国统计年鉴没有产值信息只有产量与整个粗略农业部门的产值</t>
    <phoneticPr fontId="1" type="noConversion"/>
  </si>
  <si>
    <t xml:space="preserve">GB:指日历年度内收获农作物在全部土地
（耕地或非耕地）上的播种或移植面积。凡是本年内收获的
农作物，无论是本年还是上年播种，都算为播种面积，但不
包括本年播种，下年收获的农作物面积。 </t>
    <phoneticPr fontId="1" type="noConversion"/>
  </si>
  <si>
    <t>需要考虑采用哪一个进出口数据更适合。二者真的是各有优劣。</t>
    <phoneticPr fontId="1" type="noConversion"/>
  </si>
  <si>
    <t>基本和直接剥离有一致性，印证了剥离系数法的合理</t>
    <phoneticPr fontId="1" type="noConversion"/>
  </si>
  <si>
    <t>即所谓a:b:c:d，不必计算</t>
    <phoneticPr fontId="1" type="noConversion"/>
  </si>
  <si>
    <t>2017年表这里是一整个大的农产品部门</t>
    <phoneticPr fontId="1" type="noConversion"/>
  </si>
  <si>
    <t>个人采用16.10-17.9来作为2017年的参考</t>
    <phoneticPr fontId="1" type="noConversion"/>
  </si>
  <si>
    <t>供需平衡表201811</t>
    <phoneticPr fontId="1" type="noConversion"/>
  </si>
  <si>
    <t>菜籽油产值（元）</t>
    <phoneticPr fontId="1" type="noConversion"/>
  </si>
  <si>
    <t>食品工业年鉴中没有该项数据，故采用供需平衡表来考虑剥离系数法，这里的产值按行加总的参照，减去进口。5050000*6810</t>
    <phoneticPr fontId="1" type="noConversion"/>
  </si>
  <si>
    <t>2012年表这里也是大的农业部门。实质上是从整个农产品部门里分离。</t>
    <phoneticPr fontId="1" type="noConversion"/>
  </si>
  <si>
    <t>农产品（不含油菜）</t>
    <phoneticPr fontId="1" type="noConversion"/>
  </si>
  <si>
    <t>畜牧产品</t>
  </si>
  <si>
    <t>渔产品</t>
  </si>
  <si>
    <t>石油和天然气开采产品</t>
  </si>
  <si>
    <t>非金属矿采选产品</t>
  </si>
  <si>
    <t>谷物磨制品</t>
    <phoneticPr fontId="8" type="noConversion"/>
  </si>
  <si>
    <t>饲料加工品</t>
    <phoneticPr fontId="8" type="noConversion"/>
  </si>
  <si>
    <t>植物油加工品（不含菜籽油）</t>
    <phoneticPr fontId="8" type="noConversion"/>
  </si>
  <si>
    <t>菜籽油</t>
    <phoneticPr fontId="1" type="noConversion"/>
  </si>
  <si>
    <t>糖及糖制品</t>
    <phoneticPr fontId="8" type="noConversion"/>
  </si>
  <si>
    <t>屠宰及肉类加工品</t>
    <phoneticPr fontId="8" type="noConversion"/>
  </si>
  <si>
    <t>水产加工品</t>
    <phoneticPr fontId="8" type="noConversion"/>
  </si>
  <si>
    <t>蔬菜、水果、坚果和其他农副食品加工品</t>
    <phoneticPr fontId="8" type="noConversion"/>
  </si>
  <si>
    <t>棉、化纤纺织及印染精加工品</t>
  </si>
  <si>
    <t>纺织制成品</t>
  </si>
  <si>
    <t>纺织服装服饰</t>
  </si>
  <si>
    <t>木材加工和木、竹、藤、棕、草制品</t>
    <phoneticPr fontId="8" type="noConversion"/>
  </si>
  <si>
    <t>家具</t>
    <phoneticPr fontId="8" type="noConversion"/>
  </si>
  <si>
    <t>造纸和纸制品</t>
    <phoneticPr fontId="8" type="noConversion"/>
  </si>
  <si>
    <t>印刷和记录媒介复制品</t>
    <phoneticPr fontId="8" type="noConversion"/>
  </si>
  <si>
    <t>工艺美术品</t>
    <phoneticPr fontId="8" type="noConversion"/>
  </si>
  <si>
    <t>文教、体育和娱乐用品</t>
    <phoneticPr fontId="8" type="noConversion"/>
  </si>
  <si>
    <t>精炼石油和核燃料加工品</t>
    <phoneticPr fontId="8" type="noConversion"/>
  </si>
  <si>
    <t>煤炭加工品</t>
    <phoneticPr fontId="8" type="noConversion"/>
  </si>
  <si>
    <t>医药制品</t>
  </si>
  <si>
    <t>橡胶制品</t>
  </si>
  <si>
    <t>塑料制品</t>
  </si>
  <si>
    <t>玻璃和玻璃制品</t>
  </si>
  <si>
    <t>陶瓷制品</t>
  </si>
  <si>
    <t>石墨及其他非金属矿物制品</t>
  </si>
  <si>
    <t>钢</t>
    <phoneticPr fontId="8" type="noConversion"/>
  </si>
  <si>
    <t>铁及铁合金产品</t>
    <phoneticPr fontId="8" type="noConversion"/>
  </si>
  <si>
    <t>有色金属及其合金</t>
    <phoneticPr fontId="8" type="noConversion"/>
  </si>
  <si>
    <t>有色金属压延加工品</t>
  </si>
  <si>
    <t>金属制品</t>
  </si>
  <si>
    <t>锅炉及原动设备</t>
  </si>
  <si>
    <t>汽车整车</t>
  </si>
  <si>
    <t>计算机</t>
  </si>
  <si>
    <t>通信设备</t>
  </si>
  <si>
    <t>视听设备</t>
  </si>
  <si>
    <t>电子元器件</t>
  </si>
  <si>
    <t>其他电子设备</t>
  </si>
  <si>
    <t>电力、热力生产和供应</t>
  </si>
  <si>
    <t>房屋建筑</t>
  </si>
  <si>
    <t>土木工程建筑</t>
  </si>
  <si>
    <t>建筑装饰、装修和其他建筑服务</t>
    <phoneticPr fontId="8" type="noConversion"/>
  </si>
  <si>
    <t>批发</t>
    <phoneticPr fontId="1" type="noConversion"/>
  </si>
  <si>
    <t>零售</t>
    <phoneticPr fontId="1" type="noConversion"/>
  </si>
  <si>
    <t>铁路旅客运输</t>
    <phoneticPr fontId="1" type="noConversion"/>
  </si>
  <si>
    <t>铁路货物运输和运输辅助活动</t>
    <phoneticPr fontId="1" type="noConversion"/>
  </si>
  <si>
    <t>城市公共交通及公路客运</t>
    <phoneticPr fontId="1" type="noConversion"/>
  </si>
  <si>
    <t>道路货物运输和运输辅助活动</t>
    <phoneticPr fontId="1" type="noConversion"/>
  </si>
  <si>
    <t>水上旅客运输</t>
    <phoneticPr fontId="1" type="noConversion"/>
  </si>
  <si>
    <t>水上货物运输和运输辅助活动</t>
    <phoneticPr fontId="1" type="noConversion"/>
  </si>
  <si>
    <t>航空旅客运输</t>
    <phoneticPr fontId="1" type="noConversion"/>
  </si>
  <si>
    <t>航空货物运输和运输辅助活动</t>
    <phoneticPr fontId="1" type="noConversion"/>
  </si>
  <si>
    <t>管道运输</t>
    <phoneticPr fontId="1" type="noConversion"/>
  </si>
  <si>
    <t>多式联运和运输代理</t>
    <phoneticPr fontId="1" type="noConversion"/>
  </si>
  <si>
    <t>装卸搬运和仓储</t>
    <phoneticPr fontId="1" type="noConversion"/>
  </si>
  <si>
    <t>邮政</t>
    <phoneticPr fontId="1" type="noConversion"/>
  </si>
  <si>
    <t>货币金融和其他金融服务</t>
  </si>
  <si>
    <t>商务服务</t>
  </si>
  <si>
    <t>专业技术服务</t>
  </si>
  <si>
    <t>科技推广和应用服务</t>
  </si>
  <si>
    <t>生态保护和环境治理</t>
  </si>
  <si>
    <t>公共设施及土地管理</t>
    <phoneticPr fontId="1" type="noConversion"/>
  </si>
  <si>
    <t>卫生</t>
    <phoneticPr fontId="1" type="noConversion"/>
  </si>
  <si>
    <t>广播、电视、电影和影视录音制作</t>
    <phoneticPr fontId="1" type="noConversion"/>
  </si>
  <si>
    <t>文化艺术</t>
    <phoneticPr fontId="1" type="noConversion"/>
  </si>
  <si>
    <t>体育</t>
    <phoneticPr fontId="1" type="noConversion"/>
  </si>
  <si>
    <t>公共管理和社会组织</t>
    <phoneticPr fontId="1" type="noConversion"/>
  </si>
  <si>
    <t>农产品</t>
  </si>
  <si>
    <t>农、林、牧、渔服务</t>
  </si>
  <si>
    <t>煤炭采选产品</t>
    <phoneticPr fontId="9" type="noConversion"/>
  </si>
  <si>
    <t>开采辅助服务和其他采矿产品</t>
  </si>
  <si>
    <t>植物油加工品</t>
  </si>
  <si>
    <t>蔬菜、水果、坚果和其他农副食品加工品</t>
  </si>
  <si>
    <t>饮料和精制茶加工品</t>
  </si>
  <si>
    <t>针织或钩针编织及其制品</t>
    <phoneticPr fontId="9" type="noConversion"/>
  </si>
  <si>
    <t>木材加工品和木、竹、藤、棕、草制品</t>
  </si>
  <si>
    <t>造纸和纸制品</t>
  </si>
  <si>
    <t>印刷品和记录媒介复制品</t>
  </si>
  <si>
    <t>文教、工美、体育和娱乐用品</t>
  </si>
  <si>
    <t>炼焦产品</t>
  </si>
  <si>
    <t>钢、铁及其铸件</t>
  </si>
  <si>
    <t>铁合金产品</t>
  </si>
  <si>
    <t>有色金属及其合金和铸件</t>
  </si>
  <si>
    <t>建筑装饰和其他建筑服务</t>
  </si>
  <si>
    <t>批发和零售</t>
  </si>
  <si>
    <t>铁路运输</t>
  </si>
  <si>
    <t>道路运输</t>
  </si>
  <si>
    <t>水上运输</t>
  </si>
  <si>
    <t>航空运输</t>
  </si>
  <si>
    <t>装卸搬运和运输代理</t>
  </si>
  <si>
    <t>电信和其他信息传输服务</t>
  </si>
  <si>
    <t>软件和信息技术服务</t>
  </si>
  <si>
    <t>公共管理和社会组织</t>
  </si>
  <si>
    <t>论文</t>
    <phoneticPr fontId="1" type="noConversion"/>
  </si>
  <si>
    <t>食品工业年鉴中没有该项数据，故采用论文2012 年我国油菜籽及菜籽油市场分析暨2013年展望中的整理。计算方法同2017，5270000*10760（取论文中11月平均）</t>
    <phoneticPr fontId="1" type="noConversion"/>
  </si>
  <si>
    <t>油菜</t>
    <phoneticPr fontId="9" type="noConversion"/>
  </si>
  <si>
    <t>菜籽油</t>
    <phoneticPr fontId="9" type="noConversion"/>
  </si>
  <si>
    <t>管理费+财务费,NULL</t>
    <phoneticPr fontId="1" type="noConversion"/>
  </si>
  <si>
    <t>技术服务费NULL</t>
    <phoneticPr fontId="1" type="noConversion"/>
  </si>
  <si>
    <t>管理费+财务费NULL</t>
    <phoneticPr fontId="1" type="noConversion"/>
  </si>
  <si>
    <t>略</t>
    <phoneticPr fontId="1" type="noConversion"/>
  </si>
  <si>
    <t>无数据</t>
    <phoneticPr fontId="1" type="noConversion"/>
  </si>
  <si>
    <t>2017年显然采用海关的更合适，因为下面的供需平衡表的时间口径不一，且值上显然海关数据和剥离系数法有相似。</t>
    <phoneticPr fontId="1" type="noConversion"/>
  </si>
  <si>
    <t>无数据，因此直接将存货消费进出口均作为调整项。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</si>
</sst>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 "/>
    <numFmt numFmtId="177" formatCode="0.0000000000_ "/>
    <numFmt numFmtId="178" formatCode="0.00_ ;[Red]\-0.00\ "/>
    <numFmt numFmtId="179" formatCode="0_ "/>
  </numFmts>
  <fonts count="11" x14ac:knownFonts="1">
    <font>
      <sz val="11"/>
      <color theme="1"/>
      <name val="等线"/>
      <family val="2"/>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sz val="9"/>
      <color theme="1"/>
      <name val="等线"/>
      <family val="3"/>
      <charset val="134"/>
      <scheme val="minor"/>
    </font>
    <font>
      <u/>
      <sz val="11"/>
      <color theme="10"/>
      <name val="等线"/>
      <family val="2"/>
      <scheme val="minor"/>
    </font>
    <font>
      <sz val="8"/>
      <color rgb="FF666666"/>
      <name val="Tahoma"/>
      <family val="2"/>
    </font>
    <font>
      <sz val="11"/>
      <color theme="1"/>
      <name val="等线"/>
      <family val="2"/>
      <charset val="134"/>
      <scheme val="minor"/>
    </font>
    <font>
      <sz val="9"/>
      <name val="宋体"/>
      <family val="3"/>
      <charset val="134"/>
    </font>
    <font>
      <sz val="9"/>
      <name val="等线"/>
      <family val="2"/>
      <charset val="134"/>
      <scheme val="minor"/>
    </font>
    <font>
      <sz val="8"/>
      <color rgb="FF666666"/>
      <name val="宋体"/>
      <family val="2"/>
      <charset val="134"/>
    </font>
  </fonts>
  <fills count="2">
    <fill>
      <patternFill patternType="none"/>
    </fill>
    <fill>
      <patternFill patternType="gray125"/>
    </fill>
  </fills>
  <borders count="5">
    <border>
      <left/>
      <right/>
      <top/>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0" fontId="3" fillId="0" borderId="0"/>
    <xf numFmtId="0" fontId="3" fillId="0" borderId="0"/>
    <xf numFmtId="0" fontId="3" fillId="0" borderId="0">
      <alignment vertical="center"/>
    </xf>
    <xf numFmtId="0" fontId="5" fillId="0" borderId="0" applyNumberFormat="0" applyFill="0" applyBorder="0" applyAlignment="0" applyProtection="0"/>
    <xf numFmtId="0" fontId="7" fillId="0" borderId="0">
      <alignment vertical="center"/>
    </xf>
  </cellStyleXfs>
  <cellXfs count="17">
    <xf numFmtId="0" fontId="0" fillId="0" borderId="0" xfId="0"/>
    <xf numFmtId="0" fontId="2" fillId="0" borderId="0" xfId="0" applyFont="1"/>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1" fontId="1" fillId="0" borderId="1" xfId="2" applyNumberFormat="1" applyFont="1" applyBorder="1" applyAlignment="1">
      <alignment horizontal="center" vertical="center" wrapText="1"/>
    </xf>
    <xf numFmtId="176" fontId="0" fillId="0" borderId="0" xfId="0" applyNumberFormat="1" applyAlignment="1">
      <alignment horizontal="center" vertical="center" wrapText="1"/>
    </xf>
    <xf numFmtId="1" fontId="1" fillId="0" borderId="1" xfId="2" applyNumberFormat="1" applyFont="1" applyBorder="1" applyAlignment="1">
      <alignment horizontal="right" vertical="center" wrapText="1"/>
    </xf>
    <xf numFmtId="176" fontId="4" fillId="0" borderId="2" xfId="2" applyNumberFormat="1" applyFont="1" applyBorder="1" applyAlignment="1">
      <alignment horizontal="center" vertical="center" wrapText="1"/>
    </xf>
    <xf numFmtId="177" fontId="0" fillId="0" borderId="0" xfId="0" applyNumberFormat="1" applyAlignment="1">
      <alignment horizontal="center" vertical="center" wrapText="1"/>
    </xf>
    <xf numFmtId="0" fontId="5" fillId="0" borderId="0" xfId="4"/>
    <xf numFmtId="177" fontId="6" fillId="0" borderId="0" xfId="0" applyNumberFormat="1" applyFont="1"/>
    <xf numFmtId="0" fontId="8" fillId="0" borderId="3" xfId="0" applyFont="1" applyBorder="1" applyAlignment="1">
      <alignment horizontal="justify" vertical="top" wrapText="1"/>
    </xf>
    <xf numFmtId="0" fontId="8" fillId="0" borderId="4" xfId="0" applyFont="1" applyBorder="1" applyAlignment="1">
      <alignment horizontal="justify" vertical="top" wrapText="1"/>
    </xf>
    <xf numFmtId="178" fontId="8" fillId="0" borderId="3" xfId="0" applyNumberFormat="1" applyFont="1" applyBorder="1" applyAlignment="1">
      <alignment horizontal="left"/>
    </xf>
    <xf numFmtId="179" fontId="8" fillId="0" borderId="3" xfId="0" applyNumberFormat="1" applyFont="1" applyBorder="1" applyAlignment="1">
      <alignment horizontal="right"/>
    </xf>
    <xf numFmtId="177" fontId="10" fillId="0" borderId="0" xfId="0" applyNumberFormat="1" applyFont="1"/>
  </cellXfs>
  <cellStyles count="6">
    <cellStyle name="常规" xfId="0" builtinId="0"/>
    <cellStyle name="常规 2" xfId="3" xr:uid="{88224009-D94F-423A-908A-94F176282102}"/>
    <cellStyle name="常规 2 2" xfId="5" xr:uid="{1AC61036-1E68-4145-A055-CD5BDBFDCB6B}"/>
    <cellStyle name="常规 3" xfId="1" xr:uid="{C7508D32-AD79-4888-A63E-DAFFE4B60099}"/>
    <cellStyle name="常规 5" xfId="2" xr:uid="{2895F2BB-F287-4047-B290-F47FB145FB3F}"/>
    <cellStyle name="超链接" xfId="4" builtinId="8"/>
  </cellStyles>
  <dxfs count="3">
    <dxf>
      <fill>
        <patternFill patternType="solid">
          <bgColor theme="4"/>
        </patternFill>
      </fill>
    </dxf>
    <dxf>
      <fill>
        <patternFill patternType="solid">
          <bgColor theme="4"/>
        </patternFill>
      </fill>
    </dxf>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tats.customs.gov.cn/" TargetMode="External"/><Relationship Id="rId1" Type="http://schemas.openxmlformats.org/officeDocument/2006/relationships/hyperlink" Target="http://stats.customs.gov.cn/"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tats.customs.gov.cn/" TargetMode="External"/><Relationship Id="rId1" Type="http://schemas.openxmlformats.org/officeDocument/2006/relationships/hyperlink" Target="http://stats.customs.gov.cn/"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tats.customs.gov.cn/" TargetMode="External"/><Relationship Id="rId1" Type="http://schemas.openxmlformats.org/officeDocument/2006/relationships/hyperlink" Target="http://stats.customs.gov.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9"/>
  <sheetViews>
    <sheetView zoomScale="85" zoomScaleNormal="85" workbookViewId="0">
      <pane xSplit="1" topLeftCell="B1" activePane="topRight" state="frozen"/>
      <selection activeCell="A10" sqref="A10"/>
      <selection pane="topRight" activeCell="C15" sqref="C15"/>
    </sheetView>
  </sheetViews>
  <sheetFormatPr defaultColWidth="12.58203125" defaultRowHeight="14" x14ac:dyDescent="0.3"/>
  <cols>
    <col min="1" max="1" width="47.08203125" customWidth="1"/>
    <col min="3" max="3" width="34.83203125" style="4" customWidth="1"/>
    <col min="4" max="4" width="12.58203125" style="4"/>
    <col min="5" max="6" width="121.75" style="4" customWidth="1"/>
  </cols>
  <sheetData>
    <row r="1" spans="1:6" s="1" customFormat="1" x14ac:dyDescent="0.3">
      <c r="A1" s="2" t="s">
        <v>0</v>
      </c>
      <c r="B1" s="2" t="s">
        <v>3</v>
      </c>
      <c r="C1" s="2" t="s">
        <v>1</v>
      </c>
      <c r="D1" s="2" t="s">
        <v>2</v>
      </c>
      <c r="E1" s="2" t="s">
        <v>220</v>
      </c>
      <c r="F1" s="2" t="s">
        <v>221</v>
      </c>
    </row>
    <row r="2" spans="1:6" x14ac:dyDescent="0.3">
      <c r="A2" s="3" t="s">
        <v>260</v>
      </c>
      <c r="B2" s="3">
        <v>2023</v>
      </c>
      <c r="C2" s="6">
        <v>880.52</v>
      </c>
      <c r="D2" s="3" t="s">
        <v>213</v>
      </c>
      <c r="E2" s="3"/>
      <c r="F2" s="3"/>
    </row>
    <row r="3" spans="1:6" ht="56" x14ac:dyDescent="0.3">
      <c r="A3" s="3" t="s">
        <v>257</v>
      </c>
      <c r="B3" s="3">
        <v>2023</v>
      </c>
      <c r="C3" s="6">
        <v>117075000</v>
      </c>
      <c r="D3" s="3" t="s">
        <v>256</v>
      </c>
      <c r="E3" s="3" t="s">
        <v>316</v>
      </c>
      <c r="F3" s="3"/>
    </row>
    <row r="4" spans="1:6" x14ac:dyDescent="0.3">
      <c r="A4" s="3" t="s">
        <v>261</v>
      </c>
      <c r="B4" s="3">
        <v>2023</v>
      </c>
      <c r="C4" s="6">
        <f>C2*C3</f>
        <v>103086879000</v>
      </c>
      <c r="D4" s="3" t="s">
        <v>4</v>
      </c>
      <c r="E4" s="3" t="s">
        <v>5</v>
      </c>
      <c r="F4" s="3"/>
    </row>
    <row r="5" spans="1:6" ht="28" x14ac:dyDescent="0.3">
      <c r="A5" s="3" t="s">
        <v>265</v>
      </c>
      <c r="B5" s="3">
        <v>2023</v>
      </c>
      <c r="C5" s="8">
        <v>6935662522483.5303</v>
      </c>
      <c r="D5" s="3" t="s">
        <v>267</v>
      </c>
      <c r="E5" s="3" t="s">
        <v>315</v>
      </c>
      <c r="F5" s="3"/>
    </row>
    <row r="6" spans="1:6" x14ac:dyDescent="0.3">
      <c r="A6" s="3" t="s">
        <v>270</v>
      </c>
      <c r="B6" s="3">
        <v>2023</v>
      </c>
      <c r="C6" s="9">
        <f>C4/C5</f>
        <v>1.4863306665487313E-2</v>
      </c>
      <c r="D6" s="3" t="s">
        <v>4</v>
      </c>
      <c r="E6" s="3"/>
      <c r="F6" s="3"/>
    </row>
    <row r="7" spans="1:6" ht="28" x14ac:dyDescent="0.3">
      <c r="A7" s="3" t="s">
        <v>266</v>
      </c>
      <c r="B7" s="3">
        <v>2023</v>
      </c>
      <c r="C7" s="6">
        <v>764617924111.25403</v>
      </c>
      <c r="D7" s="3" t="s">
        <v>267</v>
      </c>
      <c r="E7" s="3"/>
      <c r="F7" s="3"/>
    </row>
    <row r="8" spans="1:6" ht="28" x14ac:dyDescent="0.3">
      <c r="A8" s="3" t="s">
        <v>268</v>
      </c>
      <c r="B8" s="3">
        <v>2023</v>
      </c>
      <c r="C8" s="6">
        <v>61492000000</v>
      </c>
      <c r="D8" s="3" t="s">
        <v>269</v>
      </c>
      <c r="E8" s="3"/>
      <c r="F8" s="3"/>
    </row>
    <row r="9" spans="1:6" x14ac:dyDescent="0.3">
      <c r="A9" s="3" t="s">
        <v>271</v>
      </c>
      <c r="B9" s="3">
        <v>2023</v>
      </c>
      <c r="C9" s="9">
        <f>C8/C7</f>
        <v>8.0421865693868749E-2</v>
      </c>
      <c r="D9" s="3" t="s">
        <v>4</v>
      </c>
      <c r="E9" s="3"/>
      <c r="F9" s="3"/>
    </row>
    <row r="10" spans="1:6" ht="56" x14ac:dyDescent="0.3">
      <c r="A10" s="3" t="s">
        <v>282</v>
      </c>
      <c r="B10" s="3">
        <v>2023</v>
      </c>
      <c r="C10" s="9" t="s">
        <v>319</v>
      </c>
      <c r="D10" s="3" t="s">
        <v>318</v>
      </c>
      <c r="E10" s="3" t="s">
        <v>293</v>
      </c>
      <c r="F10" s="3"/>
    </row>
    <row r="11" spans="1:6" x14ac:dyDescent="0.3">
      <c r="A11" s="3" t="s">
        <v>287</v>
      </c>
      <c r="B11" s="3">
        <v>2023</v>
      </c>
      <c r="C11" s="9">
        <f>536.44*C3/10000</f>
        <v>6280371.3000000007</v>
      </c>
      <c r="D11" s="3" t="s">
        <v>213</v>
      </c>
      <c r="E11" s="3" t="s">
        <v>283</v>
      </c>
      <c r="F11" s="3"/>
    </row>
    <row r="12" spans="1:6" ht="28" x14ac:dyDescent="0.3">
      <c r="A12" s="3" t="s">
        <v>290</v>
      </c>
      <c r="B12" s="3">
        <v>2023</v>
      </c>
      <c r="C12" s="9">
        <v>-500133.68003366911</v>
      </c>
      <c r="D12" s="3" t="s">
        <v>289</v>
      </c>
      <c r="E12" s="3" t="s">
        <v>285</v>
      </c>
      <c r="F12" s="3"/>
    </row>
    <row r="13" spans="1:6" x14ac:dyDescent="0.3">
      <c r="A13" s="3" t="s">
        <v>286</v>
      </c>
      <c r="B13" s="3">
        <v>2023</v>
      </c>
      <c r="C13" s="9">
        <f>6.07*C3/10000</f>
        <v>71064.524999999994</v>
      </c>
      <c r="D13" s="3" t="s">
        <v>213</v>
      </c>
      <c r="E13" s="3" t="s">
        <v>284</v>
      </c>
      <c r="F13" s="3"/>
    </row>
    <row r="14" spans="1:6" ht="28" x14ac:dyDescent="0.3">
      <c r="A14" s="3" t="s">
        <v>288</v>
      </c>
      <c r="B14" s="3">
        <v>2023</v>
      </c>
      <c r="C14" s="9">
        <v>38761.631715047726</v>
      </c>
      <c r="D14" s="3" t="s">
        <v>289</v>
      </c>
      <c r="E14" s="3" t="s">
        <v>300</v>
      </c>
      <c r="F14" s="3"/>
    </row>
    <row r="15" spans="1:6" x14ac:dyDescent="0.3">
      <c r="A15" s="3" t="s">
        <v>291</v>
      </c>
      <c r="B15" s="3">
        <v>2023</v>
      </c>
      <c r="C15" s="9">
        <v>9549757.3929823469</v>
      </c>
      <c r="D15" s="3" t="s">
        <v>292</v>
      </c>
      <c r="E15" s="3" t="s">
        <v>301</v>
      </c>
      <c r="F15" s="3"/>
    </row>
    <row r="16" spans="1:6" x14ac:dyDescent="0.3">
      <c r="A16" s="3" t="s">
        <v>295</v>
      </c>
      <c r="B16" s="3">
        <v>2023</v>
      </c>
      <c r="C16" s="11">
        <v>2601330.0660999999</v>
      </c>
      <c r="D16" s="10" t="s">
        <v>294</v>
      </c>
      <c r="E16" s="3" t="s">
        <v>297</v>
      </c>
      <c r="F16" s="3"/>
    </row>
    <row r="17" spans="1:8" x14ac:dyDescent="0.3">
      <c r="A17" s="3" t="s">
        <v>296</v>
      </c>
      <c r="B17" s="3">
        <v>2023</v>
      </c>
      <c r="C17" s="9">
        <v>1418.9897000000001</v>
      </c>
      <c r="D17" s="10" t="s">
        <v>294</v>
      </c>
      <c r="E17" s="3"/>
      <c r="F17" s="3"/>
    </row>
    <row r="18" spans="1:8" x14ac:dyDescent="0.3">
      <c r="A18" s="3" t="s">
        <v>308</v>
      </c>
      <c r="B18" s="3">
        <v>2023</v>
      </c>
      <c r="C18" s="9">
        <v>1879163.3341999999</v>
      </c>
      <c r="D18" s="10" t="s">
        <v>294</v>
      </c>
      <c r="E18" s="3" t="s">
        <v>317</v>
      </c>
      <c r="F18" s="3"/>
    </row>
    <row r="19" spans="1:8" x14ac:dyDescent="0.3">
      <c r="A19" s="3" t="s">
        <v>309</v>
      </c>
      <c r="B19" s="3">
        <v>2023</v>
      </c>
      <c r="C19" s="9">
        <v>6435.1019999999999</v>
      </c>
      <c r="D19" s="10" t="s">
        <v>294</v>
      </c>
      <c r="E19" s="3"/>
      <c r="F19" s="3"/>
    </row>
    <row r="20" spans="1:8" x14ac:dyDescent="0.3">
      <c r="A20" s="3" t="s">
        <v>298</v>
      </c>
      <c r="B20" s="3">
        <v>2023</v>
      </c>
      <c r="C20" s="9">
        <f>(198)*10000*10747/10000</f>
        <v>2127906</v>
      </c>
      <c r="D20" t="s">
        <v>302</v>
      </c>
      <c r="E20" s="3"/>
      <c r="F20" s="3"/>
    </row>
    <row r="21" spans="1:8" x14ac:dyDescent="0.3">
      <c r="A21" s="3" t="s">
        <v>299</v>
      </c>
      <c r="B21" s="3">
        <v>2023</v>
      </c>
      <c r="C21" s="9">
        <f>(16)*10000*10747/10000</f>
        <v>171952</v>
      </c>
      <c r="D21" t="s">
        <v>302</v>
      </c>
      <c r="E21" s="3"/>
      <c r="F21" s="3"/>
    </row>
    <row r="22" spans="1:8" x14ac:dyDescent="0.3">
      <c r="A22" s="3" t="s">
        <v>312</v>
      </c>
      <c r="B22" s="3">
        <v>2023</v>
      </c>
      <c r="C22" s="9">
        <v>4080676</v>
      </c>
      <c r="D22" t="s">
        <v>313</v>
      </c>
      <c r="E22" s="3" t="s">
        <v>314</v>
      </c>
      <c r="F22" s="3"/>
    </row>
    <row r="23" spans="1:8" x14ac:dyDescent="0.3">
      <c r="A23" s="3" t="s">
        <v>307</v>
      </c>
      <c r="B23" s="3">
        <v>2023</v>
      </c>
      <c r="C23" s="9">
        <f>(754+198-16-307)*10000*10747/10000</f>
        <v>6759863</v>
      </c>
      <c r="D23" t="s">
        <v>302</v>
      </c>
      <c r="E23" s="4" t="s">
        <v>303</v>
      </c>
      <c r="F23" s="3"/>
    </row>
    <row r="24" spans="1:8" x14ac:dyDescent="0.3">
      <c r="A24" s="3" t="s">
        <v>306</v>
      </c>
      <c r="B24" s="3">
        <v>2023</v>
      </c>
      <c r="C24" s="9">
        <v>0.72982698439027305</v>
      </c>
      <c r="D24" t="s">
        <v>304</v>
      </c>
      <c r="E24" s="4" t="s">
        <v>305</v>
      </c>
      <c r="F24" s="3"/>
    </row>
    <row r="25" spans="1:8" x14ac:dyDescent="0.3">
      <c r="A25" s="3" t="s">
        <v>311</v>
      </c>
      <c r="B25" s="3">
        <v>2023</v>
      </c>
      <c r="C25" s="9">
        <f>(307)*10000*10747/10000</f>
        <v>3299329</v>
      </c>
      <c r="D25" t="s">
        <v>302</v>
      </c>
      <c r="E25" s="4" t="s">
        <v>310</v>
      </c>
      <c r="F25" s="3"/>
    </row>
    <row r="26" spans="1:8" s="1" customFormat="1" ht="168" x14ac:dyDescent="0.3">
      <c r="A26" s="2" t="s">
        <v>275</v>
      </c>
      <c r="B26" s="3">
        <v>2023</v>
      </c>
      <c r="C26" s="2" t="s">
        <v>262</v>
      </c>
      <c r="D26" s="2" t="s">
        <v>263</v>
      </c>
      <c r="E26" s="2" t="s">
        <v>222</v>
      </c>
      <c r="F26" s="2" t="s">
        <v>214</v>
      </c>
      <c r="G26" s="1" t="s">
        <v>273</v>
      </c>
      <c r="H26" s="1" t="s">
        <v>274</v>
      </c>
    </row>
    <row r="27" spans="1:8" ht="42" x14ac:dyDescent="0.3">
      <c r="A27" s="3" t="s">
        <v>6</v>
      </c>
      <c r="B27" s="3">
        <v>2023</v>
      </c>
      <c r="C27" s="5">
        <f>G27*$C$6</f>
        <v>0</v>
      </c>
      <c r="D27" s="5">
        <f>H27*$C$6</f>
        <v>0</v>
      </c>
      <c r="E27" s="3"/>
      <c r="F27" s="3" t="s">
        <v>215</v>
      </c>
      <c r="G27" s="5">
        <v>0</v>
      </c>
      <c r="H27" s="7">
        <v>0</v>
      </c>
    </row>
    <row r="28" spans="1:8" ht="70" x14ac:dyDescent="0.3">
      <c r="A28" s="3" t="s">
        <v>259</v>
      </c>
      <c r="B28" s="3">
        <v>2023</v>
      </c>
      <c r="C28" s="5"/>
      <c r="D28" s="5"/>
      <c r="E28" s="3" t="s">
        <v>253</v>
      </c>
      <c r="F28" s="3"/>
      <c r="G28" s="5"/>
      <c r="H28" s="7"/>
    </row>
    <row r="29" spans="1:8" ht="28" x14ac:dyDescent="0.3">
      <c r="A29" s="3" t="s">
        <v>258</v>
      </c>
      <c r="B29" s="3">
        <v>2023</v>
      </c>
      <c r="C29" s="5"/>
      <c r="D29" s="5"/>
      <c r="E29" s="3"/>
      <c r="F29" s="3" t="s">
        <v>223</v>
      </c>
      <c r="G29" s="5"/>
      <c r="H29" s="7"/>
    </row>
    <row r="30" spans="1:8" x14ac:dyDescent="0.3">
      <c r="A30" s="3" t="s">
        <v>7</v>
      </c>
      <c r="B30" s="3">
        <v>2023</v>
      </c>
      <c r="C30" s="5">
        <f t="shared" ref="C30:D91" si="0">G30*$C$6</f>
        <v>11188.156956215678</v>
      </c>
      <c r="D30" s="5">
        <f t="shared" si="0"/>
        <v>0</v>
      </c>
      <c r="E30" s="3" t="s">
        <v>239</v>
      </c>
      <c r="F30" s="3" t="s">
        <v>216</v>
      </c>
      <c r="G30" s="5">
        <v>752736.73671785602</v>
      </c>
      <c r="H30" s="7">
        <v>0</v>
      </c>
    </row>
    <row r="31" spans="1:8" x14ac:dyDescent="0.3">
      <c r="A31" s="3" t="s">
        <v>8</v>
      </c>
      <c r="B31" s="3">
        <v>2023</v>
      </c>
      <c r="C31" s="5">
        <f t="shared" si="0"/>
        <v>3.6400590707597102E-2</v>
      </c>
      <c r="D31" s="5">
        <f t="shared" si="0"/>
        <v>0</v>
      </c>
      <c r="E31" s="3" t="s">
        <v>239</v>
      </c>
      <c r="F31" s="3" t="s">
        <v>235</v>
      </c>
      <c r="G31" s="5">
        <v>2.4490237284896699</v>
      </c>
      <c r="H31" s="7">
        <v>0</v>
      </c>
    </row>
    <row r="32" spans="1:8" x14ac:dyDescent="0.3">
      <c r="A32" s="3" t="s">
        <v>9</v>
      </c>
      <c r="B32" s="3">
        <v>2023</v>
      </c>
      <c r="C32" s="5">
        <f>0.94*C3/10000</f>
        <v>11005.05</v>
      </c>
      <c r="D32" s="5">
        <f t="shared" si="0"/>
        <v>85430.235589886564</v>
      </c>
      <c r="E32" s="3" t="s">
        <v>276</v>
      </c>
      <c r="F32" s="3" t="s">
        <v>217</v>
      </c>
      <c r="G32" s="5">
        <v>26481.5805210867</v>
      </c>
      <c r="H32" s="7">
        <v>5747727.4413139904</v>
      </c>
    </row>
    <row r="33" spans="1:8" x14ac:dyDescent="0.3">
      <c r="A33" s="3" t="s">
        <v>10</v>
      </c>
      <c r="B33" s="3">
        <v>2023</v>
      </c>
      <c r="C33" s="5">
        <f t="shared" si="0"/>
        <v>0</v>
      </c>
      <c r="D33" s="5">
        <f t="shared" si="0"/>
        <v>0</v>
      </c>
      <c r="E33" s="3"/>
      <c r="F33" s="3"/>
      <c r="G33" s="5">
        <v>0</v>
      </c>
      <c r="H33" s="7">
        <v>0</v>
      </c>
    </row>
    <row r="34" spans="1:8" x14ac:dyDescent="0.3">
      <c r="A34" s="3" t="s">
        <v>11</v>
      </c>
      <c r="B34" s="3">
        <v>2023</v>
      </c>
      <c r="C34" s="5">
        <f t="shared" si="0"/>
        <v>0</v>
      </c>
      <c r="D34" s="5">
        <f t="shared" si="0"/>
        <v>0</v>
      </c>
      <c r="E34" s="3"/>
      <c r="F34" s="3"/>
      <c r="G34" s="5">
        <v>0</v>
      </c>
      <c r="H34" s="7">
        <v>0</v>
      </c>
    </row>
    <row r="35" spans="1:8" ht="42" x14ac:dyDescent="0.3">
      <c r="A35" s="3" t="s">
        <v>12</v>
      </c>
      <c r="B35" s="3">
        <v>2023</v>
      </c>
      <c r="C35" s="5">
        <f>134.44*C3/10000</f>
        <v>1573956.3</v>
      </c>
      <c r="D35" s="5">
        <f t="shared" si="0"/>
        <v>105319.93104749604</v>
      </c>
      <c r="E35" s="3" t="s">
        <v>228</v>
      </c>
      <c r="F35" s="3" t="s">
        <v>227</v>
      </c>
      <c r="G35" s="5">
        <v>22953421.140926398</v>
      </c>
      <c r="H35" s="7">
        <v>7085901.7725880304</v>
      </c>
    </row>
    <row r="36" spans="1:8" ht="28" x14ac:dyDescent="0.3">
      <c r="A36" s="3" t="s">
        <v>13</v>
      </c>
      <c r="B36" s="3">
        <v>2023</v>
      </c>
      <c r="C36" s="5">
        <f t="shared" si="0"/>
        <v>507.67345149295545</v>
      </c>
      <c r="D36" s="5">
        <f t="shared" si="0"/>
        <v>2529.3205117359521</v>
      </c>
      <c r="E36" s="3" t="s">
        <v>250</v>
      </c>
      <c r="F36" s="3" t="s">
        <v>249</v>
      </c>
      <c r="G36" s="5">
        <v>34156.1580419905</v>
      </c>
      <c r="H36" s="7">
        <v>170172.12714913901</v>
      </c>
    </row>
    <row r="37" spans="1:8" x14ac:dyDescent="0.3">
      <c r="A37" s="3" t="s">
        <v>14</v>
      </c>
      <c r="B37" s="3">
        <v>2023</v>
      </c>
      <c r="C37" s="5">
        <f t="shared" si="0"/>
        <v>0</v>
      </c>
      <c r="D37" s="5">
        <f t="shared" si="0"/>
        <v>849.0426408109081</v>
      </c>
      <c r="E37" s="3"/>
      <c r="F37" s="3"/>
      <c r="G37" s="5">
        <v>0</v>
      </c>
      <c r="H37" s="7">
        <v>57123.401940053503</v>
      </c>
    </row>
    <row r="38" spans="1:8" x14ac:dyDescent="0.3">
      <c r="A38" s="3" t="s">
        <v>15</v>
      </c>
      <c r="B38" s="3">
        <v>2023</v>
      </c>
      <c r="C38" s="5">
        <f t="shared" si="0"/>
        <v>0</v>
      </c>
      <c r="D38" s="5">
        <f t="shared" si="0"/>
        <v>747.96250819792863</v>
      </c>
      <c r="E38" s="3"/>
      <c r="F38" s="3"/>
      <c r="G38" s="5">
        <v>0</v>
      </c>
      <c r="H38" s="7">
        <v>50322.752872663397</v>
      </c>
    </row>
    <row r="39" spans="1:8" x14ac:dyDescent="0.3">
      <c r="A39" s="3" t="s">
        <v>16</v>
      </c>
      <c r="B39" s="3">
        <v>2023</v>
      </c>
      <c r="C39" s="5">
        <f t="shared" si="0"/>
        <v>0</v>
      </c>
      <c r="D39" s="5">
        <f t="shared" si="0"/>
        <v>1004.7112716002943</v>
      </c>
      <c r="E39" s="3"/>
      <c r="F39" s="3"/>
      <c r="G39" s="5">
        <v>0</v>
      </c>
      <c r="H39" s="7">
        <v>67596.753146003495</v>
      </c>
    </row>
    <row r="40" spans="1:8" x14ac:dyDescent="0.3">
      <c r="A40" s="3" t="s">
        <v>17</v>
      </c>
      <c r="B40" s="3">
        <v>2023</v>
      </c>
      <c r="C40" s="5">
        <f t="shared" si="0"/>
        <v>0</v>
      </c>
      <c r="D40" s="5">
        <f t="shared" si="0"/>
        <v>582.51905397489622</v>
      </c>
      <c r="E40" s="3"/>
      <c r="F40" s="3"/>
      <c r="G40" s="5">
        <v>0</v>
      </c>
      <c r="H40" s="7">
        <v>39191.753698220396</v>
      </c>
    </row>
    <row r="41" spans="1:8" x14ac:dyDescent="0.3">
      <c r="A41" s="3" t="s">
        <v>18</v>
      </c>
      <c r="B41" s="3">
        <v>2023</v>
      </c>
      <c r="C41" s="5">
        <f t="shared" si="0"/>
        <v>0.17753903100597301</v>
      </c>
      <c r="D41" s="5">
        <f t="shared" si="0"/>
        <v>455.98677296534891</v>
      </c>
      <c r="E41" s="3" t="s">
        <v>251</v>
      </c>
      <c r="F41" s="3"/>
      <c r="G41" s="5">
        <v>11.9447869173163</v>
      </c>
      <c r="H41" s="7">
        <v>30678.689690508301</v>
      </c>
    </row>
    <row r="42" spans="1:8" x14ac:dyDescent="0.3">
      <c r="A42" s="3" t="s">
        <v>19</v>
      </c>
      <c r="B42" s="3">
        <v>2023</v>
      </c>
      <c r="C42" s="5">
        <f t="shared" si="0"/>
        <v>1273.5479257115273</v>
      </c>
      <c r="D42" s="5">
        <f t="shared" si="0"/>
        <v>246.86702065860311</v>
      </c>
      <c r="E42" s="3" t="s">
        <v>252</v>
      </c>
      <c r="F42" s="3"/>
      <c r="G42" s="5">
        <v>85684.024044845501</v>
      </c>
      <c r="H42" s="7">
        <v>16609.158797202901</v>
      </c>
    </row>
    <row r="43" spans="1:8" x14ac:dyDescent="0.3">
      <c r="A43" s="3" t="s">
        <v>20</v>
      </c>
      <c r="B43" s="3">
        <v>2023</v>
      </c>
      <c r="C43" s="5">
        <f t="shared" si="0"/>
        <v>0</v>
      </c>
      <c r="D43" s="5">
        <f t="shared" si="0"/>
        <v>293.01912711015819</v>
      </c>
      <c r="E43" s="3"/>
      <c r="F43" s="3"/>
      <c r="G43" s="5">
        <v>0</v>
      </c>
      <c r="H43" s="7">
        <v>19714.262357955002</v>
      </c>
    </row>
    <row r="44" spans="1:8" ht="28" x14ac:dyDescent="0.3">
      <c r="A44" s="3" t="s">
        <v>21</v>
      </c>
      <c r="B44" s="3">
        <v>2023</v>
      </c>
      <c r="C44" s="5">
        <f t="shared" si="0"/>
        <v>13788.831013358882</v>
      </c>
      <c r="D44" s="5">
        <f t="shared" si="0"/>
        <v>9958.9940673504243</v>
      </c>
      <c r="E44" s="3" t="s">
        <v>254</v>
      </c>
      <c r="F44" s="3"/>
      <c r="G44" s="5">
        <v>927709.51469208603</v>
      </c>
      <c r="H44" s="7">
        <v>670038.92817977502</v>
      </c>
    </row>
    <row r="45" spans="1:8" x14ac:dyDescent="0.3">
      <c r="A45" s="3" t="s">
        <v>22</v>
      </c>
      <c r="B45" s="3">
        <v>2023</v>
      </c>
      <c r="C45" s="5">
        <f t="shared" si="0"/>
        <v>7883.9557996779877</v>
      </c>
      <c r="D45" s="5">
        <f t="shared" si="0"/>
        <v>723100.76671981602</v>
      </c>
      <c r="E45" s="3" t="s">
        <v>239</v>
      </c>
      <c r="F45" s="3" t="s">
        <v>218</v>
      </c>
      <c r="G45" s="5">
        <v>530430.81039191503</v>
      </c>
      <c r="H45" s="7">
        <v>48650060.379825197</v>
      </c>
    </row>
    <row r="46" spans="1:8" ht="28" x14ac:dyDescent="0.3">
      <c r="A46" s="3" t="s">
        <v>264</v>
      </c>
      <c r="B46" s="3">
        <v>2023</v>
      </c>
      <c r="C46" s="5">
        <v>0</v>
      </c>
      <c r="D46" s="5">
        <v>0</v>
      </c>
      <c r="E46" s="3" t="s">
        <v>278</v>
      </c>
      <c r="F46" s="3"/>
      <c r="G46" s="5">
        <v>2595.2530264668198</v>
      </c>
      <c r="H46" s="7">
        <v>38249047.336092003</v>
      </c>
    </row>
    <row r="47" spans="1:8" x14ac:dyDescent="0.3">
      <c r="A47" s="3" t="s">
        <v>272</v>
      </c>
      <c r="B47" s="3">
        <v>2023</v>
      </c>
      <c r="C47" s="5">
        <f t="shared" si="0"/>
        <v>0</v>
      </c>
      <c r="D47" s="5">
        <f>H46*$C$9</f>
        <v>3076059.7477816194</v>
      </c>
      <c r="E47" s="3" t="s">
        <v>280</v>
      </c>
      <c r="F47" s="3" t="s">
        <v>219</v>
      </c>
      <c r="G47" s="5"/>
      <c r="H47" s="7">
        <f>H46*$X$3</f>
        <v>0</v>
      </c>
    </row>
    <row r="48" spans="1:8" x14ac:dyDescent="0.3">
      <c r="A48" s="3" t="s">
        <v>23</v>
      </c>
      <c r="B48" s="3">
        <v>2023</v>
      </c>
      <c r="C48" s="5">
        <f t="shared" si="0"/>
        <v>0</v>
      </c>
      <c r="D48" s="5">
        <f t="shared" si="0"/>
        <v>58020.511433969041</v>
      </c>
      <c r="E48" s="3"/>
      <c r="F48" s="3"/>
      <c r="G48" s="5">
        <v>0</v>
      </c>
      <c r="H48" s="7">
        <v>3903607.23490238</v>
      </c>
    </row>
    <row r="49" spans="1:8" x14ac:dyDescent="0.3">
      <c r="A49" s="3" t="s">
        <v>24</v>
      </c>
      <c r="B49" s="3">
        <v>2023</v>
      </c>
      <c r="C49" s="5">
        <f t="shared" si="0"/>
        <v>0</v>
      </c>
      <c r="D49" s="5">
        <f t="shared" si="0"/>
        <v>12664.120448667478</v>
      </c>
      <c r="E49" s="3"/>
      <c r="F49" s="3"/>
      <c r="G49" s="5">
        <v>0</v>
      </c>
      <c r="H49" s="7">
        <v>852039.23552715499</v>
      </c>
    </row>
    <row r="50" spans="1:8" x14ac:dyDescent="0.3">
      <c r="A50" s="3" t="s">
        <v>25</v>
      </c>
      <c r="B50" s="3">
        <v>2023</v>
      </c>
      <c r="C50" s="5">
        <f t="shared" si="0"/>
        <v>0</v>
      </c>
      <c r="D50" s="5">
        <f t="shared" si="0"/>
        <v>1580.518709667547</v>
      </c>
      <c r="E50" s="3"/>
      <c r="F50" s="3"/>
      <c r="G50" s="5">
        <v>0</v>
      </c>
      <c r="H50" s="7">
        <v>106336.95080365401</v>
      </c>
    </row>
    <row r="51" spans="1:8" x14ac:dyDescent="0.3">
      <c r="A51" s="3" t="s">
        <v>26</v>
      </c>
      <c r="B51" s="3">
        <v>2023</v>
      </c>
      <c r="C51" s="5">
        <f t="shared" si="0"/>
        <v>0</v>
      </c>
      <c r="D51" s="5">
        <f t="shared" si="0"/>
        <v>282607.78609375685</v>
      </c>
      <c r="E51" s="3"/>
      <c r="F51" s="3"/>
      <c r="G51" s="5">
        <v>0</v>
      </c>
      <c r="H51" s="7">
        <v>19013789.6266363</v>
      </c>
    </row>
    <row r="52" spans="1:8" x14ac:dyDescent="0.3">
      <c r="A52" s="3" t="s">
        <v>27</v>
      </c>
      <c r="B52" s="3">
        <v>2023</v>
      </c>
      <c r="C52" s="5">
        <f t="shared" si="0"/>
        <v>0</v>
      </c>
      <c r="D52" s="5">
        <f t="shared" si="0"/>
        <v>180962.7662736222</v>
      </c>
      <c r="E52" s="3"/>
      <c r="F52" s="3"/>
      <c r="G52" s="5">
        <v>0</v>
      </c>
      <c r="H52" s="7">
        <v>12175135.072319999</v>
      </c>
    </row>
    <row r="53" spans="1:8" x14ac:dyDescent="0.3">
      <c r="A53" s="3" t="s">
        <v>28</v>
      </c>
      <c r="B53" s="3">
        <v>2023</v>
      </c>
      <c r="C53" s="5">
        <f t="shared" si="0"/>
        <v>0</v>
      </c>
      <c r="D53" s="5">
        <f t="shared" si="0"/>
        <v>15537.311222451825</v>
      </c>
      <c r="E53" s="3"/>
      <c r="F53" s="3"/>
      <c r="G53" s="5">
        <v>0</v>
      </c>
      <c r="H53" s="7">
        <v>1045346.878197</v>
      </c>
    </row>
    <row r="54" spans="1:8" x14ac:dyDescent="0.3">
      <c r="A54" s="3" t="s">
        <v>29</v>
      </c>
      <c r="B54" s="3">
        <v>2023</v>
      </c>
      <c r="C54" s="5">
        <f t="shared" si="0"/>
        <v>0</v>
      </c>
      <c r="D54" s="5">
        <f t="shared" si="0"/>
        <v>3146.1117765865279</v>
      </c>
      <c r="E54" s="3"/>
      <c r="F54" s="3"/>
      <c r="G54" s="5">
        <v>0</v>
      </c>
      <c r="H54" s="7">
        <v>211669.707649363</v>
      </c>
    </row>
    <row r="55" spans="1:8" x14ac:dyDescent="0.3">
      <c r="A55" s="3" t="s">
        <v>30</v>
      </c>
      <c r="B55" s="3">
        <v>2023</v>
      </c>
      <c r="C55" s="5">
        <f t="shared" si="0"/>
        <v>0</v>
      </c>
      <c r="D55" s="5">
        <f t="shared" si="0"/>
        <v>67815.688604944342</v>
      </c>
      <c r="E55" s="3"/>
      <c r="F55" s="3"/>
      <c r="G55" s="5">
        <v>0</v>
      </c>
      <c r="H55" s="7">
        <v>4562624.5983616002</v>
      </c>
    </row>
    <row r="56" spans="1:8" x14ac:dyDescent="0.3">
      <c r="A56" s="3" t="s">
        <v>31</v>
      </c>
      <c r="B56" s="3">
        <v>2023</v>
      </c>
      <c r="C56" s="5">
        <f t="shared" si="0"/>
        <v>0</v>
      </c>
      <c r="D56" s="5">
        <f t="shared" si="0"/>
        <v>224678.13659033252</v>
      </c>
      <c r="E56" s="3"/>
      <c r="F56" s="3"/>
      <c r="G56" s="5">
        <v>0</v>
      </c>
      <c r="H56" s="7">
        <v>15116295.5624159</v>
      </c>
    </row>
    <row r="57" spans="1:8" x14ac:dyDescent="0.3">
      <c r="A57" s="3" t="s">
        <v>32</v>
      </c>
      <c r="B57" s="3">
        <v>2023</v>
      </c>
      <c r="C57" s="5">
        <f t="shared" si="0"/>
        <v>6312.6792317687514</v>
      </c>
      <c r="D57" s="5">
        <f t="shared" si="0"/>
        <v>67496.208980551601</v>
      </c>
      <c r="E57" s="3" t="s">
        <v>239</v>
      </c>
      <c r="F57" s="3"/>
      <c r="G57" s="5">
        <v>424715.66885091801</v>
      </c>
      <c r="H57" s="7">
        <v>4541130.0795722799</v>
      </c>
    </row>
    <row r="58" spans="1:8" x14ac:dyDescent="0.3">
      <c r="A58" s="3" t="s">
        <v>33</v>
      </c>
      <c r="B58" s="3">
        <v>2023</v>
      </c>
      <c r="C58" s="5">
        <f t="shared" si="0"/>
        <v>253.94229727169224</v>
      </c>
      <c r="D58" s="5">
        <f t="shared" si="0"/>
        <v>98191.977185746393</v>
      </c>
      <c r="E58" s="3" t="s">
        <v>239</v>
      </c>
      <c r="F58" s="3"/>
      <c r="G58" s="5">
        <v>17085.181849968001</v>
      </c>
      <c r="H58" s="7">
        <v>6606334.6061310004</v>
      </c>
    </row>
    <row r="59" spans="1:8" x14ac:dyDescent="0.3">
      <c r="A59" s="3" t="s">
        <v>34</v>
      </c>
      <c r="B59" s="3">
        <v>2023</v>
      </c>
      <c r="C59" s="5">
        <f t="shared" si="0"/>
        <v>64.260677435326613</v>
      </c>
      <c r="D59" s="5">
        <f t="shared" si="0"/>
        <v>148682.41664005423</v>
      </c>
      <c r="E59" s="3" t="s">
        <v>239</v>
      </c>
      <c r="F59" s="3"/>
      <c r="G59" s="5">
        <v>4323.4442295764702</v>
      </c>
      <c r="H59" s="7">
        <v>10003320.2561376</v>
      </c>
    </row>
    <row r="60" spans="1:8" x14ac:dyDescent="0.3">
      <c r="A60" s="3" t="s">
        <v>35</v>
      </c>
      <c r="B60" s="3">
        <v>2023</v>
      </c>
      <c r="C60" s="5">
        <f t="shared" si="0"/>
        <v>11335.503056901522</v>
      </c>
      <c r="D60" s="5">
        <f t="shared" si="0"/>
        <v>160348.84326876799</v>
      </c>
      <c r="E60" s="3" t="s">
        <v>239</v>
      </c>
      <c r="F60" s="3"/>
      <c r="G60" s="5">
        <v>762650.14993081102</v>
      </c>
      <c r="H60" s="7">
        <v>10788234.871120499</v>
      </c>
    </row>
    <row r="61" spans="1:8" x14ac:dyDescent="0.3">
      <c r="A61" s="3" t="s">
        <v>36</v>
      </c>
      <c r="B61" s="3">
        <v>2023</v>
      </c>
      <c r="C61" s="5">
        <f t="shared" si="0"/>
        <v>33.495365469555139</v>
      </c>
      <c r="D61" s="5">
        <f t="shared" si="0"/>
        <v>127102.75698581889</v>
      </c>
      <c r="E61" s="3" t="s">
        <v>239</v>
      </c>
      <c r="F61" s="3"/>
      <c r="G61" s="5">
        <v>2253.5608141175999</v>
      </c>
      <c r="H61" s="7">
        <v>8551445.5057939608</v>
      </c>
    </row>
    <row r="62" spans="1:8" x14ac:dyDescent="0.3">
      <c r="A62" s="3" t="s">
        <v>37</v>
      </c>
      <c r="B62" s="3">
        <v>2023</v>
      </c>
      <c r="C62" s="5">
        <f t="shared" si="0"/>
        <v>0</v>
      </c>
      <c r="D62" s="5">
        <f t="shared" si="0"/>
        <v>408.08788162930068</v>
      </c>
      <c r="E62" s="3"/>
      <c r="F62" s="3"/>
      <c r="G62" s="5">
        <v>0</v>
      </c>
      <c r="H62" s="7">
        <v>27456.062827317099</v>
      </c>
    </row>
    <row r="63" spans="1:8" x14ac:dyDescent="0.3">
      <c r="A63" s="3" t="s">
        <v>38</v>
      </c>
      <c r="B63" s="3">
        <v>2023</v>
      </c>
      <c r="C63" s="5">
        <f t="shared" si="0"/>
        <v>0</v>
      </c>
      <c r="D63" s="5">
        <f t="shared" si="0"/>
        <v>23924.105303324537</v>
      </c>
      <c r="E63" s="3"/>
      <c r="F63" s="3"/>
      <c r="G63" s="5">
        <v>0</v>
      </c>
      <c r="H63" s="7">
        <v>1609608.5374378001</v>
      </c>
    </row>
    <row r="64" spans="1:8" x14ac:dyDescent="0.3">
      <c r="A64" s="3" t="s">
        <v>39</v>
      </c>
      <c r="B64" s="3">
        <v>2023</v>
      </c>
      <c r="C64" s="5">
        <f t="shared" si="0"/>
        <v>5.9779796172281348</v>
      </c>
      <c r="D64" s="5">
        <f t="shared" si="0"/>
        <v>291.81642477402477</v>
      </c>
      <c r="E64" s="3" t="s">
        <v>239</v>
      </c>
      <c r="F64" s="3"/>
      <c r="G64" s="5">
        <v>402.197152475434</v>
      </c>
      <c r="H64" s="7">
        <v>19633.344809578899</v>
      </c>
    </row>
    <row r="65" spans="1:8" x14ac:dyDescent="0.3">
      <c r="A65" s="3" t="s">
        <v>40</v>
      </c>
      <c r="B65" s="3">
        <v>2023</v>
      </c>
      <c r="C65" s="5">
        <f t="shared" si="0"/>
        <v>0</v>
      </c>
      <c r="D65" s="5">
        <f t="shared" si="0"/>
        <v>583.89685704979945</v>
      </c>
      <c r="E65" s="3"/>
      <c r="F65" s="3"/>
      <c r="G65" s="5">
        <v>0</v>
      </c>
      <c r="H65" s="7">
        <v>39284.451985749001</v>
      </c>
    </row>
    <row r="66" spans="1:8" x14ac:dyDescent="0.3">
      <c r="A66" s="3" t="s">
        <v>41</v>
      </c>
      <c r="B66" s="3">
        <v>2023</v>
      </c>
      <c r="C66" s="5">
        <f t="shared" si="0"/>
        <v>0</v>
      </c>
      <c r="D66" s="5">
        <f t="shared" si="0"/>
        <v>4524.1431281408113</v>
      </c>
      <c r="E66" s="3"/>
      <c r="F66" s="3"/>
      <c r="G66" s="5">
        <v>0</v>
      </c>
      <c r="H66" s="7">
        <v>304383.353580795</v>
      </c>
    </row>
    <row r="67" spans="1:8" x14ac:dyDescent="0.3">
      <c r="A67" s="3" t="s">
        <v>42</v>
      </c>
      <c r="B67" s="3">
        <v>2023</v>
      </c>
      <c r="C67" s="5">
        <f t="shared" si="0"/>
        <v>70.343166914965124</v>
      </c>
      <c r="D67" s="5">
        <f t="shared" si="0"/>
        <v>2273.7407551903689</v>
      </c>
      <c r="E67" s="3" t="s">
        <v>255</v>
      </c>
      <c r="F67" s="3"/>
      <c r="G67" s="5">
        <v>4732.6727825849403</v>
      </c>
      <c r="H67" s="7">
        <v>152976.777399743</v>
      </c>
    </row>
    <row r="68" spans="1:8" x14ac:dyDescent="0.3">
      <c r="A68" s="3" t="s">
        <v>43</v>
      </c>
      <c r="B68" s="3">
        <v>2023</v>
      </c>
      <c r="C68" s="5">
        <f t="shared" si="0"/>
        <v>1.6994934512274891</v>
      </c>
      <c r="D68" s="5">
        <f t="shared" si="0"/>
        <v>3256.99130539729</v>
      </c>
      <c r="E68" s="3" t="s">
        <v>239</v>
      </c>
      <c r="F68" s="3"/>
      <c r="G68" s="5">
        <v>114.34154522114</v>
      </c>
      <c r="H68" s="7">
        <v>219129.65793540701</v>
      </c>
    </row>
    <row r="69" spans="1:8" x14ac:dyDescent="0.3">
      <c r="A69" s="3" t="s">
        <v>44</v>
      </c>
      <c r="B69" s="3">
        <v>2023</v>
      </c>
      <c r="C69" s="5">
        <f t="shared" si="0"/>
        <v>1.6119073231843501</v>
      </c>
      <c r="D69" s="5">
        <f t="shared" si="0"/>
        <v>947.34482140161106</v>
      </c>
      <c r="E69" s="3" t="s">
        <v>239</v>
      </c>
      <c r="F69" s="3"/>
      <c r="G69" s="5">
        <v>108.448769810234</v>
      </c>
      <c r="H69" s="7">
        <v>63737.151007006498</v>
      </c>
    </row>
    <row r="70" spans="1:8" x14ac:dyDescent="0.3">
      <c r="A70" s="3" t="s">
        <v>45</v>
      </c>
      <c r="B70" s="3">
        <v>2023</v>
      </c>
      <c r="C70" s="5">
        <f t="shared" si="0"/>
        <v>1.132777646550245</v>
      </c>
      <c r="D70" s="5">
        <f t="shared" si="0"/>
        <v>4051.8913593404668</v>
      </c>
      <c r="E70" s="3" t="s">
        <v>239</v>
      </c>
      <c r="F70" s="3"/>
      <c r="G70" s="5">
        <v>76.213030656264493</v>
      </c>
      <c r="H70" s="7">
        <v>272610.35855157202</v>
      </c>
    </row>
    <row r="71" spans="1:8" x14ac:dyDescent="0.3">
      <c r="A71" s="3" t="s">
        <v>46</v>
      </c>
      <c r="B71" s="3">
        <v>2023</v>
      </c>
      <c r="C71" s="5">
        <f t="shared" si="0"/>
        <v>4.548246897503498</v>
      </c>
      <c r="D71" s="5">
        <f t="shared" si="0"/>
        <v>589.84236802892337</v>
      </c>
      <c r="E71" s="3" t="s">
        <v>239</v>
      </c>
      <c r="F71" s="3"/>
      <c r="G71" s="5">
        <v>306.00504987659002</v>
      </c>
      <c r="H71" s="7">
        <v>39684.464655401403</v>
      </c>
    </row>
    <row r="72" spans="1:8" x14ac:dyDescent="0.3">
      <c r="A72" s="3" t="s">
        <v>47</v>
      </c>
      <c r="B72" s="3">
        <v>2023</v>
      </c>
      <c r="C72" s="5">
        <f t="shared" si="0"/>
        <v>20.452588589943321</v>
      </c>
      <c r="D72" s="5">
        <f t="shared" si="0"/>
        <v>1394.786204832008</v>
      </c>
      <c r="E72" s="3" t="s">
        <v>239</v>
      </c>
      <c r="F72" s="3"/>
      <c r="G72" s="5">
        <v>1376.04565728529</v>
      </c>
      <c r="H72" s="7">
        <v>93840.908771041504</v>
      </c>
    </row>
    <row r="73" spans="1:8" x14ac:dyDescent="0.3">
      <c r="A73" s="3" t="s">
        <v>48</v>
      </c>
      <c r="B73" s="3">
        <v>2023</v>
      </c>
      <c r="C73" s="5">
        <f t="shared" si="0"/>
        <v>0</v>
      </c>
      <c r="D73" s="5">
        <f t="shared" si="0"/>
        <v>996.71908458082964</v>
      </c>
      <c r="E73" s="3"/>
      <c r="F73" s="3"/>
      <c r="G73" s="5">
        <v>0</v>
      </c>
      <c r="H73" s="7">
        <v>67059.040562973605</v>
      </c>
    </row>
    <row r="74" spans="1:8" x14ac:dyDescent="0.3">
      <c r="A74" s="3" t="s">
        <v>49</v>
      </c>
      <c r="B74" s="3">
        <v>2023</v>
      </c>
      <c r="C74" s="5">
        <f t="shared" si="0"/>
        <v>2548.913466609697</v>
      </c>
      <c r="D74" s="5">
        <f t="shared" si="0"/>
        <v>14088.292915463193</v>
      </c>
      <c r="E74" s="3" t="s">
        <v>239</v>
      </c>
      <c r="F74" s="3"/>
      <c r="G74" s="5">
        <v>171490.336839264</v>
      </c>
      <c r="H74" s="7">
        <v>947857.24553314201</v>
      </c>
    </row>
    <row r="75" spans="1:8" x14ac:dyDescent="0.3">
      <c r="A75" s="3" t="s">
        <v>50</v>
      </c>
      <c r="B75" s="3">
        <v>2023</v>
      </c>
      <c r="C75" s="5">
        <f t="shared" si="0"/>
        <v>645.17710451332175</v>
      </c>
      <c r="D75" s="5">
        <f t="shared" si="0"/>
        <v>5934.2461829895719</v>
      </c>
      <c r="E75" s="3" t="s">
        <v>239</v>
      </c>
      <c r="F75" s="3"/>
      <c r="G75" s="5">
        <v>43407.373543023699</v>
      </c>
      <c r="H75" s="7">
        <v>399254.77664865297</v>
      </c>
    </row>
    <row r="76" spans="1:8" x14ac:dyDescent="0.3">
      <c r="A76" s="3" t="s">
        <v>51</v>
      </c>
      <c r="B76" s="3">
        <v>2023</v>
      </c>
      <c r="C76" s="5">
        <f t="shared" si="0"/>
        <v>652.29716033570992</v>
      </c>
      <c r="D76" s="5">
        <f t="shared" si="0"/>
        <v>1891.6245235019549</v>
      </c>
      <c r="E76" s="3" t="s">
        <v>239</v>
      </c>
      <c r="F76" s="3"/>
      <c r="G76" s="5">
        <v>43886.409331131399</v>
      </c>
      <c r="H76" s="7">
        <v>127268.081462271</v>
      </c>
    </row>
    <row r="77" spans="1:8" x14ac:dyDescent="0.3">
      <c r="A77" s="3" t="s">
        <v>52</v>
      </c>
      <c r="B77" s="3">
        <v>2023</v>
      </c>
      <c r="C77" s="5">
        <f t="shared" si="0"/>
        <v>1542.3962395950941</v>
      </c>
      <c r="D77" s="5">
        <f t="shared" si="0"/>
        <v>138945.62941817814</v>
      </c>
      <c r="E77" s="3" t="s">
        <v>239</v>
      </c>
      <c r="F77" s="3"/>
      <c r="G77" s="5">
        <v>103772.07941060299</v>
      </c>
      <c r="H77" s="7">
        <v>9348231.3555980604</v>
      </c>
    </row>
    <row r="78" spans="1:8" x14ac:dyDescent="0.3">
      <c r="A78" s="3" t="s">
        <v>53</v>
      </c>
      <c r="B78" s="3">
        <v>2023</v>
      </c>
      <c r="C78" s="5">
        <f t="shared" si="0"/>
        <v>0</v>
      </c>
      <c r="D78" s="5">
        <f t="shared" si="0"/>
        <v>87834.521674315925</v>
      </c>
      <c r="E78" s="3"/>
      <c r="F78" s="3"/>
      <c r="G78" s="5">
        <v>0</v>
      </c>
      <c r="H78" s="7">
        <v>5909487.2797227697</v>
      </c>
    </row>
    <row r="79" spans="1:8" x14ac:dyDescent="0.3">
      <c r="A79" s="3" t="s">
        <v>54</v>
      </c>
      <c r="B79" s="3">
        <v>2023</v>
      </c>
      <c r="C79" s="5">
        <f t="shared" si="0"/>
        <v>1314.7141873593862</v>
      </c>
      <c r="D79" s="5">
        <f t="shared" si="0"/>
        <v>1696.602386237927</v>
      </c>
      <c r="E79" s="3" t="s">
        <v>239</v>
      </c>
      <c r="F79" s="3"/>
      <c r="G79" s="5">
        <v>88453.681064938297</v>
      </c>
      <c r="H79" s="7">
        <v>114147.035005168</v>
      </c>
    </row>
    <row r="80" spans="1:8" x14ac:dyDescent="0.3">
      <c r="A80" s="3" t="s">
        <v>55</v>
      </c>
      <c r="B80" s="3">
        <v>2023</v>
      </c>
      <c r="C80" s="5">
        <f t="shared" si="0"/>
        <v>5791.7550827570485</v>
      </c>
      <c r="D80" s="5">
        <f t="shared" si="0"/>
        <v>31799.149983585667</v>
      </c>
      <c r="E80" s="3" t="s">
        <v>239</v>
      </c>
      <c r="F80" s="3"/>
      <c r="G80" s="5">
        <v>389668.00679727201</v>
      </c>
      <c r="H80" s="7">
        <v>2139439.8096773098</v>
      </c>
    </row>
    <row r="81" spans="1:8" x14ac:dyDescent="0.3">
      <c r="A81" s="3" t="s">
        <v>56</v>
      </c>
      <c r="B81" s="3">
        <v>2023</v>
      </c>
      <c r="C81" s="5">
        <f t="shared" si="0"/>
        <v>1446.4069788831166</v>
      </c>
      <c r="D81" s="5">
        <f t="shared" si="0"/>
        <v>4035.446092752014</v>
      </c>
      <c r="E81" s="3" t="s">
        <v>239</v>
      </c>
      <c r="F81" s="3"/>
      <c r="G81" s="5">
        <v>97313.943083855105</v>
      </c>
      <c r="H81" s="7">
        <v>271503.92463625502</v>
      </c>
    </row>
    <row r="82" spans="1:8" x14ac:dyDescent="0.3">
      <c r="A82" s="3" t="s">
        <v>57</v>
      </c>
      <c r="B82" s="3">
        <v>2023</v>
      </c>
      <c r="C82" s="5">
        <f t="shared" si="0"/>
        <v>41156.631227264523</v>
      </c>
      <c r="D82" s="5">
        <f t="shared" si="0"/>
        <v>8425.4001653824052</v>
      </c>
      <c r="E82" s="3" t="s">
        <v>239</v>
      </c>
      <c r="F82" s="3"/>
      <c r="G82" s="5">
        <v>2769009.0875155302</v>
      </c>
      <c r="H82" s="7">
        <v>566859.06810671103</v>
      </c>
    </row>
    <row r="83" spans="1:8" x14ac:dyDescent="0.3">
      <c r="A83" s="3" t="s">
        <v>58</v>
      </c>
      <c r="B83" s="3">
        <v>2023</v>
      </c>
      <c r="C83" s="5">
        <f t="shared" si="0"/>
        <v>0</v>
      </c>
      <c r="D83" s="5">
        <f t="shared" si="0"/>
        <v>1487.7385199730038</v>
      </c>
      <c r="E83" s="3"/>
      <c r="F83" s="3"/>
      <c r="G83" s="5">
        <v>0</v>
      </c>
      <c r="H83" s="7">
        <v>100094.720068418</v>
      </c>
    </row>
    <row r="84" spans="1:8" x14ac:dyDescent="0.3">
      <c r="A84" s="3" t="s">
        <v>59</v>
      </c>
      <c r="B84" s="3">
        <v>2023</v>
      </c>
      <c r="C84" s="5">
        <f t="shared" si="0"/>
        <v>46.182821555987807</v>
      </c>
      <c r="D84" s="5">
        <f t="shared" si="0"/>
        <v>11513.318805499388</v>
      </c>
      <c r="E84" s="3" t="s">
        <v>240</v>
      </c>
      <c r="F84" s="3"/>
      <c r="G84" s="5">
        <v>3107.17006621579</v>
      </c>
      <c r="H84" s="7">
        <v>774613.55434678495</v>
      </c>
    </row>
    <row r="85" spans="1:8" x14ac:dyDescent="0.3">
      <c r="A85" s="3" t="s">
        <v>60</v>
      </c>
      <c r="B85" s="3">
        <v>2023</v>
      </c>
      <c r="C85" s="5">
        <f>138.63*C3/10000</f>
        <v>1623010.7250000001</v>
      </c>
      <c r="D85" s="5">
        <f t="shared" si="0"/>
        <v>1845.0245993310489</v>
      </c>
      <c r="E85" s="3" t="s">
        <v>277</v>
      </c>
      <c r="F85" s="3"/>
      <c r="G85" s="5">
        <v>40771012.229488596</v>
      </c>
      <c r="H85" s="7">
        <v>124132.848823957</v>
      </c>
    </row>
    <row r="86" spans="1:8" x14ac:dyDescent="0.3">
      <c r="A86" s="3" t="s">
        <v>61</v>
      </c>
      <c r="B86" s="3">
        <v>2023</v>
      </c>
      <c r="C86" s="5">
        <f>20.59*C3/10000</f>
        <v>241057.42499999999</v>
      </c>
      <c r="D86" s="5">
        <f t="shared" si="0"/>
        <v>4615.8572540090281</v>
      </c>
      <c r="E86" s="3" t="s">
        <v>224</v>
      </c>
      <c r="F86" s="3"/>
      <c r="G86" s="5">
        <v>13632317.201494901</v>
      </c>
      <c r="H86" s="7">
        <v>310553.85977651097</v>
      </c>
    </row>
    <row r="87" spans="1:8" x14ac:dyDescent="0.3">
      <c r="A87" s="3" t="s">
        <v>62</v>
      </c>
      <c r="B87" s="3">
        <v>2023</v>
      </c>
      <c r="C87" s="5">
        <f t="shared" si="0"/>
        <v>92.592778527836956</v>
      </c>
      <c r="D87" s="5">
        <f t="shared" si="0"/>
        <v>8570.0515252772111</v>
      </c>
      <c r="E87" s="3" t="s">
        <v>239</v>
      </c>
      <c r="F87" s="3"/>
      <c r="G87" s="5">
        <v>6229.6217532023302</v>
      </c>
      <c r="H87" s="7">
        <v>576591.17975254601</v>
      </c>
    </row>
    <row r="88" spans="1:8" x14ac:dyDescent="0.3">
      <c r="A88" s="3" t="s">
        <v>63</v>
      </c>
      <c r="B88" s="3">
        <v>2023</v>
      </c>
      <c r="C88" s="5">
        <f t="shared" si="0"/>
        <v>1.858796719428202</v>
      </c>
      <c r="D88" s="5">
        <f t="shared" si="0"/>
        <v>4568.307359374865</v>
      </c>
      <c r="E88" s="3" t="s">
        <v>239</v>
      </c>
      <c r="F88" s="3"/>
      <c r="G88" s="5">
        <v>125.059434031886</v>
      </c>
      <c r="H88" s="7">
        <v>307354.71333458403</v>
      </c>
    </row>
    <row r="89" spans="1:8" x14ac:dyDescent="0.3">
      <c r="A89" s="3" t="s">
        <v>64</v>
      </c>
      <c r="B89" s="3">
        <v>2023</v>
      </c>
      <c r="C89" s="5">
        <f t="shared" si="0"/>
        <v>24.775237892902691</v>
      </c>
      <c r="D89" s="5">
        <f t="shared" si="0"/>
        <v>32624.85669594452</v>
      </c>
      <c r="E89" s="3" t="s">
        <v>239</v>
      </c>
      <c r="F89" s="3"/>
      <c r="G89" s="5">
        <v>1666.8725506707699</v>
      </c>
      <c r="H89" s="7">
        <v>2194993.17548898</v>
      </c>
    </row>
    <row r="90" spans="1:8" x14ac:dyDescent="0.3">
      <c r="A90" s="3" t="s">
        <v>65</v>
      </c>
      <c r="B90" s="3">
        <v>2023</v>
      </c>
      <c r="C90" s="5">
        <f t="shared" si="0"/>
        <v>106.11339729555594</v>
      </c>
      <c r="D90" s="5">
        <f t="shared" si="0"/>
        <v>12850.056223663783</v>
      </c>
      <c r="E90" s="3" t="s">
        <v>239</v>
      </c>
      <c r="F90" s="3"/>
      <c r="G90" s="5">
        <v>7139.28600706005</v>
      </c>
      <c r="H90" s="7">
        <v>864548.95353142999</v>
      </c>
    </row>
    <row r="91" spans="1:8" x14ac:dyDescent="0.3">
      <c r="A91" s="3" t="s">
        <v>66</v>
      </c>
      <c r="B91" s="3">
        <v>2023</v>
      </c>
      <c r="C91" s="5">
        <f t="shared" si="0"/>
        <v>0</v>
      </c>
      <c r="D91" s="5">
        <f t="shared" si="0"/>
        <v>30696.797921764984</v>
      </c>
      <c r="E91" s="3"/>
      <c r="F91" s="3"/>
      <c r="G91" s="5">
        <v>0</v>
      </c>
      <c r="H91" s="7">
        <v>2065273.8056628499</v>
      </c>
    </row>
    <row r="92" spans="1:8" x14ac:dyDescent="0.3">
      <c r="A92" s="3" t="s">
        <v>67</v>
      </c>
      <c r="B92" s="3">
        <v>2023</v>
      </c>
      <c r="C92" s="5">
        <f t="shared" ref="C92:D155" si="1">G92*$C$6</f>
        <v>11.690379074858836</v>
      </c>
      <c r="D92" s="5">
        <f t="shared" si="1"/>
        <v>8944.8976637004289</v>
      </c>
      <c r="E92" s="3"/>
      <c r="F92" s="3"/>
      <c r="G92" s="5">
        <v>786.52613028593203</v>
      </c>
      <c r="H92" s="7">
        <v>601810.74541579199</v>
      </c>
    </row>
    <row r="93" spans="1:8" x14ac:dyDescent="0.3">
      <c r="A93" s="3" t="s">
        <v>68</v>
      </c>
      <c r="B93" s="3">
        <v>2023</v>
      </c>
      <c r="C93" s="5">
        <f t="shared" si="1"/>
        <v>10.736259213776147</v>
      </c>
      <c r="D93" s="5">
        <f t="shared" si="1"/>
        <v>383692.72296644567</v>
      </c>
      <c r="E93" s="3"/>
      <c r="F93" s="3"/>
      <c r="G93" s="5">
        <v>722.33315610084298</v>
      </c>
      <c r="H93" s="7">
        <v>25814761.923561901</v>
      </c>
    </row>
    <row r="94" spans="1:8" x14ac:dyDescent="0.3">
      <c r="A94" s="3" t="s">
        <v>69</v>
      </c>
      <c r="B94" s="3">
        <v>2023</v>
      </c>
      <c r="C94" s="5">
        <f t="shared" si="1"/>
        <v>5.7268840927882936</v>
      </c>
      <c r="D94" s="5">
        <f t="shared" si="1"/>
        <v>124231.83164026157</v>
      </c>
      <c r="E94" s="3"/>
      <c r="F94" s="3"/>
      <c r="G94" s="5">
        <v>385.30350087481901</v>
      </c>
      <c r="H94" s="7">
        <v>8358290.2806364503</v>
      </c>
    </row>
    <row r="95" spans="1:8" x14ac:dyDescent="0.3">
      <c r="A95" s="3" t="s">
        <v>70</v>
      </c>
      <c r="B95" s="3">
        <v>2023</v>
      </c>
      <c r="C95" s="5">
        <f t="shared" si="1"/>
        <v>0</v>
      </c>
      <c r="D95" s="5">
        <f t="shared" si="1"/>
        <v>21461.336063272611</v>
      </c>
      <c r="E95" s="3"/>
      <c r="F95" s="3"/>
      <c r="G95" s="5">
        <v>0</v>
      </c>
      <c r="H95" s="7">
        <v>1443913.9651949699</v>
      </c>
    </row>
    <row r="96" spans="1:8" x14ac:dyDescent="0.3">
      <c r="A96" s="3" t="s">
        <v>71</v>
      </c>
      <c r="B96" s="3">
        <v>2023</v>
      </c>
      <c r="C96" s="5">
        <f t="shared" si="1"/>
        <v>70.558004660468725</v>
      </c>
      <c r="D96" s="5">
        <f t="shared" si="1"/>
        <v>747.95237689860937</v>
      </c>
      <c r="E96" s="3" t="s">
        <v>239</v>
      </c>
      <c r="F96" s="3"/>
      <c r="G96" s="5">
        <v>4747.1270188015997</v>
      </c>
      <c r="H96" s="7">
        <v>50322.071241075799</v>
      </c>
    </row>
    <row r="97" spans="1:8" x14ac:dyDescent="0.3">
      <c r="A97" s="3" t="s">
        <v>72</v>
      </c>
      <c r="B97" s="3">
        <v>2023</v>
      </c>
      <c r="C97" s="5">
        <f t="shared" si="1"/>
        <v>52.672714998354977</v>
      </c>
      <c r="D97" s="5">
        <f t="shared" si="1"/>
        <v>342.75120210136862</v>
      </c>
      <c r="E97" s="3" t="s">
        <v>239</v>
      </c>
      <c r="F97" s="3"/>
      <c r="G97" s="5">
        <v>3543.8086681385198</v>
      </c>
      <c r="H97" s="7">
        <v>23060.225413853499</v>
      </c>
    </row>
    <row r="98" spans="1:8" x14ac:dyDescent="0.3">
      <c r="A98" s="3" t="s">
        <v>73</v>
      </c>
      <c r="B98" s="3">
        <v>2023</v>
      </c>
      <c r="C98" s="5">
        <f t="shared" si="1"/>
        <v>128521.61082676817</v>
      </c>
      <c r="D98" s="5">
        <f t="shared" si="1"/>
        <v>718.99812028687768</v>
      </c>
      <c r="E98" s="3" t="s">
        <v>225</v>
      </c>
      <c r="F98" s="3"/>
      <c r="G98" s="5">
        <v>8646905.6798240002</v>
      </c>
      <c r="H98" s="7">
        <v>48374.035231096699</v>
      </c>
    </row>
    <row r="99" spans="1:8" x14ac:dyDescent="0.3">
      <c r="A99" s="3" t="s">
        <v>74</v>
      </c>
      <c r="B99" s="3">
        <v>2023</v>
      </c>
      <c r="C99" s="5">
        <f t="shared" si="1"/>
        <v>0</v>
      </c>
      <c r="D99" s="5">
        <f t="shared" si="1"/>
        <v>536.7723650991793</v>
      </c>
      <c r="E99" s="3"/>
      <c r="F99" s="3"/>
      <c r="G99" s="5">
        <v>0</v>
      </c>
      <c r="H99" s="7">
        <v>36113.926542709902</v>
      </c>
    </row>
    <row r="100" spans="1:8" x14ac:dyDescent="0.3">
      <c r="A100" s="3" t="s">
        <v>75</v>
      </c>
      <c r="B100" s="3">
        <v>2023</v>
      </c>
      <c r="C100" s="5">
        <f t="shared" si="1"/>
        <v>22287.890898227794</v>
      </c>
      <c r="D100" s="5">
        <f t="shared" si="1"/>
        <v>2267.9496582540473</v>
      </c>
      <c r="E100" s="3" t="s">
        <v>241</v>
      </c>
      <c r="F100" s="3"/>
      <c r="G100" s="5">
        <v>1499524.3925081899</v>
      </c>
      <c r="H100" s="7">
        <v>152587.15367289301</v>
      </c>
    </row>
    <row r="101" spans="1:8" x14ac:dyDescent="0.3">
      <c r="A101" s="3" t="s">
        <v>76</v>
      </c>
      <c r="B101" s="3">
        <v>2023</v>
      </c>
      <c r="C101" s="5">
        <f t="shared" si="1"/>
        <v>49.247718620194505</v>
      </c>
      <c r="D101" s="5">
        <f t="shared" si="1"/>
        <v>634.85935699162428</v>
      </c>
      <c r="E101" s="3" t="s">
        <v>239</v>
      </c>
      <c r="F101" s="3"/>
      <c r="G101" s="5">
        <v>3313.3756658972802</v>
      </c>
      <c r="H101" s="7">
        <v>42713.197761422198</v>
      </c>
    </row>
    <row r="102" spans="1:8" x14ac:dyDescent="0.3">
      <c r="A102" s="3" t="s">
        <v>77</v>
      </c>
      <c r="B102" s="3">
        <v>2023</v>
      </c>
      <c r="C102" s="5">
        <f t="shared" si="1"/>
        <v>45.387593513728667</v>
      </c>
      <c r="D102" s="5">
        <f t="shared" si="1"/>
        <v>6899.9554148270699</v>
      </c>
      <c r="E102" s="3" t="s">
        <v>239</v>
      </c>
      <c r="F102" s="3"/>
      <c r="G102" s="5">
        <v>3053.6672986179401</v>
      </c>
      <c r="H102" s="7">
        <v>464227.48114649398</v>
      </c>
    </row>
    <row r="103" spans="1:8" x14ac:dyDescent="0.3">
      <c r="A103" s="3" t="s">
        <v>78</v>
      </c>
      <c r="B103" s="3">
        <v>2023</v>
      </c>
      <c r="C103" s="5">
        <f t="shared" si="1"/>
        <v>2758.3262680974062</v>
      </c>
      <c r="D103" s="5">
        <f t="shared" si="1"/>
        <v>1112.4369869505706</v>
      </c>
      <c r="E103" s="3" t="s">
        <v>239</v>
      </c>
      <c r="F103" s="3"/>
      <c r="G103" s="5">
        <v>185579.58401694399</v>
      </c>
      <c r="H103" s="7">
        <v>74844.515556801096</v>
      </c>
    </row>
    <row r="104" spans="1:8" x14ac:dyDescent="0.3">
      <c r="A104" s="3" t="s">
        <v>79</v>
      </c>
      <c r="B104" s="3">
        <v>2023</v>
      </c>
      <c r="C104" s="5">
        <f t="shared" si="1"/>
        <v>3.462128693962101</v>
      </c>
      <c r="D104" s="5">
        <f t="shared" si="1"/>
        <v>571.95430373757029</v>
      </c>
      <c r="E104" s="3" t="s">
        <v>239</v>
      </c>
      <c r="F104" s="3"/>
      <c r="G104" s="5">
        <v>232.931256272952</v>
      </c>
      <c r="H104" s="7">
        <v>38480.959628293997</v>
      </c>
    </row>
    <row r="105" spans="1:8" x14ac:dyDescent="0.3">
      <c r="A105" s="3" t="s">
        <v>80</v>
      </c>
      <c r="B105" s="3">
        <v>2023</v>
      </c>
      <c r="C105" s="5">
        <f t="shared" si="1"/>
        <v>5.210509248748787</v>
      </c>
      <c r="D105" s="5">
        <f t="shared" si="1"/>
        <v>2074.6788304610477</v>
      </c>
      <c r="E105" s="3" t="s">
        <v>239</v>
      </c>
      <c r="F105" s="3"/>
      <c r="G105" s="5">
        <v>350.56191505808198</v>
      </c>
      <c r="H105" s="7">
        <v>139583.93493141499</v>
      </c>
    </row>
    <row r="106" spans="1:8" x14ac:dyDescent="0.3">
      <c r="A106" s="3" t="s">
        <v>81</v>
      </c>
      <c r="B106" s="3">
        <v>2023</v>
      </c>
      <c r="C106" s="5">
        <f t="shared" si="1"/>
        <v>6.6987567117449034</v>
      </c>
      <c r="D106" s="5">
        <f t="shared" si="1"/>
        <v>573.93923939622596</v>
      </c>
      <c r="E106" s="3" t="s">
        <v>239</v>
      </c>
      <c r="F106" s="3"/>
      <c r="G106" s="5">
        <v>450.69087670104102</v>
      </c>
      <c r="H106" s="7">
        <v>38614.505662385098</v>
      </c>
    </row>
    <row r="107" spans="1:8" x14ac:dyDescent="0.3">
      <c r="A107" s="3" t="s">
        <v>82</v>
      </c>
      <c r="B107" s="3">
        <v>2023</v>
      </c>
      <c r="C107" s="5">
        <f t="shared" si="1"/>
        <v>2365.1940277600411</v>
      </c>
      <c r="D107" s="5">
        <f t="shared" si="1"/>
        <v>496.44944985049619</v>
      </c>
      <c r="E107" s="3" t="s">
        <v>239</v>
      </c>
      <c r="F107" s="3"/>
      <c r="G107" s="5">
        <v>159129.73344296499</v>
      </c>
      <c r="H107" s="7">
        <v>33401.009682674099</v>
      </c>
    </row>
    <row r="108" spans="1:8" x14ac:dyDescent="0.3">
      <c r="A108" s="3" t="s">
        <v>83</v>
      </c>
      <c r="B108" s="3">
        <v>2023</v>
      </c>
      <c r="C108" s="5">
        <f t="shared" si="1"/>
        <v>0</v>
      </c>
      <c r="D108" s="5">
        <f t="shared" si="1"/>
        <v>605.38133730748768</v>
      </c>
      <c r="E108" s="3"/>
      <c r="F108" s="3"/>
      <c r="G108" s="5">
        <v>0</v>
      </c>
      <c r="H108" s="7">
        <v>40729.9230872486</v>
      </c>
    </row>
    <row r="109" spans="1:8" x14ac:dyDescent="0.3">
      <c r="A109" s="3" t="s">
        <v>236</v>
      </c>
      <c r="B109" s="3">
        <v>2023</v>
      </c>
      <c r="C109" s="5">
        <f t="shared" si="1"/>
        <v>0.87939039335327707</v>
      </c>
      <c r="D109" s="5">
        <f t="shared" si="1"/>
        <v>1838.7079097741459</v>
      </c>
      <c r="E109" s="3" t="s">
        <v>239</v>
      </c>
      <c r="F109" s="3"/>
      <c r="G109" s="5">
        <v>59.165192049439902</v>
      </c>
      <c r="H109" s="7">
        <v>123707.86334131401</v>
      </c>
    </row>
    <row r="110" spans="1:8" x14ac:dyDescent="0.3">
      <c r="A110" s="3" t="s">
        <v>84</v>
      </c>
      <c r="B110" s="3">
        <v>2023</v>
      </c>
      <c r="C110" s="5">
        <f t="shared" si="1"/>
        <v>0</v>
      </c>
      <c r="D110" s="5">
        <f t="shared" si="1"/>
        <v>370.17208285984026</v>
      </c>
      <c r="E110" s="3"/>
      <c r="F110" s="3"/>
      <c r="G110" s="5">
        <v>0</v>
      </c>
      <c r="H110" s="7">
        <v>24905.096234028599</v>
      </c>
    </row>
    <row r="111" spans="1:8" x14ac:dyDescent="0.3">
      <c r="A111" s="3" t="s">
        <v>85</v>
      </c>
      <c r="B111" s="3">
        <v>2023</v>
      </c>
      <c r="C111" s="5">
        <f t="shared" si="1"/>
        <v>0</v>
      </c>
      <c r="D111" s="5">
        <f t="shared" si="1"/>
        <v>759.10906743872783</v>
      </c>
      <c r="E111" s="3"/>
      <c r="F111" s="3"/>
      <c r="G111" s="5">
        <v>0</v>
      </c>
      <c r="H111" s="7">
        <v>51072.690924246599</v>
      </c>
    </row>
    <row r="112" spans="1:8" x14ac:dyDescent="0.3">
      <c r="A112" s="3" t="s">
        <v>86</v>
      </c>
      <c r="B112" s="3">
        <v>2023</v>
      </c>
      <c r="C112" s="5">
        <f t="shared" si="1"/>
        <v>12146.049489028777</v>
      </c>
      <c r="D112" s="5">
        <f t="shared" si="1"/>
        <v>5386.683833432593</v>
      </c>
      <c r="E112" s="3" t="s">
        <v>242</v>
      </c>
      <c r="F112" s="3"/>
      <c r="G112" s="5">
        <v>817183.53542633797</v>
      </c>
      <c r="H112" s="7">
        <v>362414.90232725302</v>
      </c>
    </row>
    <row r="113" spans="1:8" x14ac:dyDescent="0.3">
      <c r="A113" s="3" t="s">
        <v>87</v>
      </c>
      <c r="B113" s="3">
        <v>2023</v>
      </c>
      <c r="C113" s="5">
        <f t="shared" si="1"/>
        <v>0</v>
      </c>
      <c r="D113" s="5">
        <f t="shared" si="1"/>
        <v>646.91106569358044</v>
      </c>
      <c r="E113" s="3"/>
      <c r="F113" s="3"/>
      <c r="G113" s="5">
        <v>0</v>
      </c>
      <c r="H113" s="7">
        <v>43524.034069465299</v>
      </c>
    </row>
    <row r="114" spans="1:8" x14ac:dyDescent="0.3">
      <c r="A114" s="3" t="s">
        <v>88</v>
      </c>
      <c r="B114" s="3">
        <v>2023</v>
      </c>
      <c r="C114" s="5">
        <f t="shared" si="1"/>
        <v>7.3108420274880661</v>
      </c>
      <c r="D114" s="5">
        <f t="shared" si="1"/>
        <v>4219.8811813093334</v>
      </c>
      <c r="E114" s="3" t="s">
        <v>239</v>
      </c>
      <c r="F114" s="3"/>
      <c r="G114" s="5">
        <v>491.871841981427</v>
      </c>
      <c r="H114" s="7">
        <v>283912.67678732099</v>
      </c>
    </row>
    <row r="115" spans="1:8" x14ac:dyDescent="0.3">
      <c r="A115" s="3" t="s">
        <v>89</v>
      </c>
      <c r="B115" s="3">
        <v>2023</v>
      </c>
      <c r="C115" s="5">
        <f t="shared" si="1"/>
        <v>1.2462054588816882</v>
      </c>
      <c r="D115" s="5">
        <f t="shared" si="1"/>
        <v>1132.9790668478981</v>
      </c>
      <c r="E115" s="3" t="s">
        <v>239</v>
      </c>
      <c r="F115" s="3"/>
      <c r="G115" s="5">
        <v>83.844428896524406</v>
      </c>
      <c r="H115" s="7">
        <v>76226.582169543894</v>
      </c>
    </row>
    <row r="116" spans="1:8" x14ac:dyDescent="0.3">
      <c r="A116" s="3" t="s">
        <v>90</v>
      </c>
      <c r="B116" s="3">
        <v>2023</v>
      </c>
      <c r="C116" s="5">
        <f t="shared" si="1"/>
        <v>1.0463362864539587</v>
      </c>
      <c r="D116" s="5">
        <f t="shared" si="1"/>
        <v>565.45459672044808</v>
      </c>
      <c r="E116" s="3" t="s">
        <v>239</v>
      </c>
      <c r="F116" s="3"/>
      <c r="G116" s="5">
        <v>70.397274980779201</v>
      </c>
      <c r="H116" s="7">
        <v>38043.660771222399</v>
      </c>
    </row>
    <row r="117" spans="1:8" x14ac:dyDescent="0.3">
      <c r="A117" s="3" t="s">
        <v>91</v>
      </c>
      <c r="B117" s="3">
        <v>2023</v>
      </c>
      <c r="C117" s="5">
        <f t="shared" si="1"/>
        <v>7.5018778194023819E-2</v>
      </c>
      <c r="D117" s="5">
        <f t="shared" si="1"/>
        <v>2212.6603089005971</v>
      </c>
      <c r="E117" s="3" t="s">
        <v>239</v>
      </c>
      <c r="F117" s="3"/>
      <c r="G117" s="5">
        <v>5.0472468800107499</v>
      </c>
      <c r="H117" s="7">
        <v>148867.29842144801</v>
      </c>
    </row>
    <row r="118" spans="1:8" x14ac:dyDescent="0.3">
      <c r="A118" s="3" t="s">
        <v>92</v>
      </c>
      <c r="B118" s="3">
        <v>2023</v>
      </c>
      <c r="C118" s="5">
        <f t="shared" si="1"/>
        <v>8.4552391279849884E-2</v>
      </c>
      <c r="D118" s="5">
        <f t="shared" si="1"/>
        <v>1636.8198080341479</v>
      </c>
      <c r="E118" s="3" t="s">
        <v>239</v>
      </c>
      <c r="F118" s="3"/>
      <c r="G118" s="5">
        <v>5.6886662694096897</v>
      </c>
      <c r="H118" s="7">
        <v>110124.87630594699</v>
      </c>
    </row>
    <row r="119" spans="1:8" x14ac:dyDescent="0.3">
      <c r="A119" s="3" t="s">
        <v>93</v>
      </c>
      <c r="B119" s="3">
        <v>2023</v>
      </c>
      <c r="C119" s="5">
        <f t="shared" si="1"/>
        <v>2.5781074692924125E-2</v>
      </c>
      <c r="D119" s="5">
        <f t="shared" si="1"/>
        <v>537.09508896939644</v>
      </c>
      <c r="E119" s="3" t="s">
        <v>239</v>
      </c>
      <c r="F119" s="3"/>
      <c r="G119" s="5">
        <v>1.7345450291211399</v>
      </c>
      <c r="H119" s="7">
        <v>36135.639333644001</v>
      </c>
    </row>
    <row r="120" spans="1:8" x14ac:dyDescent="0.3">
      <c r="A120" s="3" t="s">
        <v>94</v>
      </c>
      <c r="B120" s="3">
        <v>2023</v>
      </c>
      <c r="C120" s="5">
        <f t="shared" si="1"/>
        <v>0</v>
      </c>
      <c r="D120" s="5">
        <f t="shared" si="1"/>
        <v>4560.9295771348943</v>
      </c>
      <c r="E120" s="3"/>
      <c r="F120" s="3"/>
      <c r="G120" s="5">
        <v>0</v>
      </c>
      <c r="H120" s="7">
        <v>306858.33776984498</v>
      </c>
    </row>
    <row r="121" spans="1:8" x14ac:dyDescent="0.3">
      <c r="A121" s="3" t="s">
        <v>95</v>
      </c>
      <c r="B121" s="3">
        <v>2023</v>
      </c>
      <c r="C121" s="5">
        <f t="shared" si="1"/>
        <v>4250.7938674411935</v>
      </c>
      <c r="D121" s="5">
        <f t="shared" si="1"/>
        <v>1686.0938598957293</v>
      </c>
      <c r="E121" s="3" t="s">
        <v>243</v>
      </c>
      <c r="F121" s="3"/>
      <c r="G121" s="5">
        <v>285992.47550422698</v>
      </c>
      <c r="H121" s="7">
        <v>113440.02366652701</v>
      </c>
    </row>
    <row r="122" spans="1:8" x14ac:dyDescent="0.3">
      <c r="A122" s="3" t="s">
        <v>96</v>
      </c>
      <c r="B122" s="3">
        <v>2023</v>
      </c>
      <c r="C122" s="5">
        <f t="shared" si="1"/>
        <v>0</v>
      </c>
      <c r="D122" s="5">
        <f t="shared" si="1"/>
        <v>727.01064184468453</v>
      </c>
      <c r="E122" s="3"/>
      <c r="F122" s="3"/>
      <c r="G122" s="5">
        <v>0</v>
      </c>
      <c r="H122" s="7">
        <v>48913.115917389201</v>
      </c>
    </row>
    <row r="123" spans="1:8" x14ac:dyDescent="0.3">
      <c r="A123" s="3" t="s">
        <v>97</v>
      </c>
      <c r="B123" s="3">
        <v>2023</v>
      </c>
      <c r="C123" s="5">
        <f t="shared" si="1"/>
        <v>0</v>
      </c>
      <c r="D123" s="5">
        <f t="shared" si="1"/>
        <v>823.00795927871559</v>
      </c>
      <c r="E123" s="3"/>
      <c r="F123" s="3"/>
      <c r="G123" s="5">
        <v>0</v>
      </c>
      <c r="H123" s="7">
        <v>55371.794298622997</v>
      </c>
    </row>
    <row r="124" spans="1:8" x14ac:dyDescent="0.3">
      <c r="A124" s="3" t="s">
        <v>98</v>
      </c>
      <c r="B124" s="3">
        <v>2023</v>
      </c>
      <c r="C124" s="5">
        <f t="shared" si="1"/>
        <v>4621.119799853821</v>
      </c>
      <c r="D124" s="5">
        <f t="shared" si="1"/>
        <v>431.55275158733485</v>
      </c>
      <c r="E124" s="3" t="s">
        <v>239</v>
      </c>
      <c r="F124" s="3"/>
      <c r="G124" s="5">
        <v>310907.92270229402</v>
      </c>
      <c r="H124" s="7">
        <v>29034.774111833602</v>
      </c>
    </row>
    <row r="125" spans="1:8" x14ac:dyDescent="0.3">
      <c r="A125" s="3" t="s">
        <v>99</v>
      </c>
      <c r="B125" s="3">
        <v>2023</v>
      </c>
      <c r="C125" s="5">
        <f t="shared" si="1"/>
        <v>0</v>
      </c>
      <c r="D125" s="5">
        <f t="shared" si="1"/>
        <v>1947.2947051474214</v>
      </c>
      <c r="E125" s="3"/>
      <c r="F125" s="3"/>
      <c r="G125" s="5">
        <v>0</v>
      </c>
      <c r="H125" s="7">
        <v>131013.55902647501</v>
      </c>
    </row>
    <row r="126" spans="1:8" x14ac:dyDescent="0.3">
      <c r="A126" s="3" t="s">
        <v>237</v>
      </c>
      <c r="B126" s="3">
        <v>2023</v>
      </c>
      <c r="C126" s="5">
        <f t="shared" si="1"/>
        <v>757.03670681702454</v>
      </c>
      <c r="D126" s="5">
        <f t="shared" si="1"/>
        <v>1033.9671493733863</v>
      </c>
      <c r="E126" s="3" t="s">
        <v>244</v>
      </c>
      <c r="F126" s="3"/>
      <c r="G126" s="5">
        <v>50933.262957890001</v>
      </c>
      <c r="H126" s="7">
        <v>69565.082161311002</v>
      </c>
    </row>
    <row r="127" spans="1:8" x14ac:dyDescent="0.3">
      <c r="A127" s="3" t="s">
        <v>100</v>
      </c>
      <c r="B127" s="3">
        <v>2023</v>
      </c>
      <c r="C127" s="5">
        <f t="shared" si="1"/>
        <v>154.35936682477228</v>
      </c>
      <c r="D127" s="5">
        <f t="shared" si="1"/>
        <v>1433.0748479606245</v>
      </c>
      <c r="E127" s="3" t="s">
        <v>239</v>
      </c>
      <c r="F127" s="3"/>
      <c r="G127" s="5">
        <v>10385.264214671401</v>
      </c>
      <c r="H127" s="7">
        <v>96416.960250724893</v>
      </c>
    </row>
    <row r="128" spans="1:8" x14ac:dyDescent="0.3">
      <c r="A128" s="3" t="s">
        <v>101</v>
      </c>
      <c r="B128" s="3">
        <v>2023</v>
      </c>
      <c r="C128" s="5">
        <f t="shared" si="1"/>
        <v>149.91567360350348</v>
      </c>
      <c r="D128" s="5">
        <f t="shared" si="1"/>
        <v>1019.9490934512543</v>
      </c>
      <c r="E128" s="3" t="s">
        <v>239</v>
      </c>
      <c r="F128" s="3"/>
      <c r="G128" s="5">
        <v>10086.293513112299</v>
      </c>
      <c r="H128" s="7">
        <v>68621.950445225099</v>
      </c>
    </row>
    <row r="129" spans="1:8" x14ac:dyDescent="0.3">
      <c r="A129" s="3" t="s">
        <v>102</v>
      </c>
      <c r="B129" s="3">
        <v>2023</v>
      </c>
      <c r="C129" s="5">
        <f t="shared" si="1"/>
        <v>297.34537624055946</v>
      </c>
      <c r="D129" s="5">
        <f t="shared" si="1"/>
        <v>2523.0845573595257</v>
      </c>
      <c r="E129" s="3" t="s">
        <v>239</v>
      </c>
      <c r="F129" s="3"/>
      <c r="G129" s="5">
        <v>20005.331446938198</v>
      </c>
      <c r="H129" s="7">
        <v>169752.57351166301</v>
      </c>
    </row>
    <row r="130" spans="1:8" x14ac:dyDescent="0.3">
      <c r="A130" s="3" t="s">
        <v>103</v>
      </c>
      <c r="B130" s="3">
        <v>2023</v>
      </c>
      <c r="C130" s="5">
        <f t="shared" si="1"/>
        <v>319.30677638544967</v>
      </c>
      <c r="D130" s="5">
        <f t="shared" si="1"/>
        <v>616.64538171409697</v>
      </c>
      <c r="E130" s="3" t="s">
        <v>239</v>
      </c>
      <c r="F130" s="3"/>
      <c r="G130" s="5">
        <v>21482.889613445299</v>
      </c>
      <c r="H130" s="7">
        <v>41487.7655149208</v>
      </c>
    </row>
    <row r="131" spans="1:8" x14ac:dyDescent="0.3">
      <c r="A131" s="3" t="s">
        <v>104</v>
      </c>
      <c r="B131" s="3">
        <v>2023</v>
      </c>
      <c r="C131" s="5">
        <f t="shared" si="1"/>
        <v>0</v>
      </c>
      <c r="D131" s="5">
        <f t="shared" si="1"/>
        <v>3002.877758222668</v>
      </c>
      <c r="E131" s="3"/>
      <c r="F131" s="3"/>
      <c r="G131" s="5">
        <v>0</v>
      </c>
      <c r="H131" s="7">
        <v>202032.95442967399</v>
      </c>
    </row>
    <row r="132" spans="1:8" x14ac:dyDescent="0.3">
      <c r="A132" s="3" t="s">
        <v>105</v>
      </c>
      <c r="B132" s="3">
        <v>2023</v>
      </c>
      <c r="C132" s="5">
        <f t="shared" si="1"/>
        <v>1231.9846556078012</v>
      </c>
      <c r="D132" s="5">
        <f t="shared" si="1"/>
        <v>267.8276980931841</v>
      </c>
      <c r="E132" s="3" t="s">
        <v>239</v>
      </c>
      <c r="F132" s="3"/>
      <c r="G132" s="5">
        <v>82887.656383251306</v>
      </c>
      <c r="H132" s="7">
        <v>18019.388560089501</v>
      </c>
    </row>
    <row r="133" spans="1:8" x14ac:dyDescent="0.3">
      <c r="A133" s="3" t="s">
        <v>106</v>
      </c>
      <c r="B133" s="3">
        <v>2023</v>
      </c>
      <c r="C133" s="5">
        <f t="shared" si="1"/>
        <v>1126.577212885119</v>
      </c>
      <c r="D133" s="5">
        <f t="shared" si="1"/>
        <v>2263.5287587536404</v>
      </c>
      <c r="E133" s="3" t="s">
        <v>239</v>
      </c>
      <c r="F133" s="3"/>
      <c r="G133" s="5">
        <v>75795.866844424207</v>
      </c>
      <c r="H133" s="7">
        <v>152289.71652785499</v>
      </c>
    </row>
    <row r="134" spans="1:8" x14ac:dyDescent="0.3">
      <c r="A134" s="3" t="s">
        <v>107</v>
      </c>
      <c r="B134" s="3">
        <v>2023</v>
      </c>
      <c r="C134" s="5">
        <f t="shared" si="1"/>
        <v>136.29135552752732</v>
      </c>
      <c r="D134" s="5">
        <f t="shared" si="1"/>
        <v>801.85528735949254</v>
      </c>
      <c r="E134" s="3" t="s">
        <v>239</v>
      </c>
      <c r="F134" s="3"/>
      <c r="G134" s="5">
        <v>9169.6523926265108</v>
      </c>
      <c r="H134" s="7">
        <v>53948.647189081101</v>
      </c>
    </row>
    <row r="135" spans="1:8" x14ac:dyDescent="0.3">
      <c r="A135" s="3" t="s">
        <v>108</v>
      </c>
      <c r="B135" s="3">
        <v>2023</v>
      </c>
      <c r="C135" s="5">
        <f t="shared" si="1"/>
        <v>0</v>
      </c>
      <c r="D135" s="5">
        <f t="shared" si="1"/>
        <v>1838.205015749307</v>
      </c>
      <c r="E135" s="3"/>
      <c r="F135" s="3"/>
      <c r="G135" s="5">
        <v>0</v>
      </c>
      <c r="H135" s="7">
        <v>123674.028742045</v>
      </c>
    </row>
    <row r="136" spans="1:8" x14ac:dyDescent="0.3">
      <c r="A136" s="3" t="s">
        <v>109</v>
      </c>
      <c r="B136" s="3">
        <v>2023</v>
      </c>
      <c r="C136" s="5">
        <f t="shared" si="1"/>
        <v>0</v>
      </c>
      <c r="D136" s="5">
        <f t="shared" si="1"/>
        <v>1670.7096785705962</v>
      </c>
      <c r="E136" s="3"/>
      <c r="F136" s="3"/>
      <c r="G136" s="5">
        <v>0</v>
      </c>
      <c r="H136" s="7">
        <v>112404.979334107</v>
      </c>
    </row>
    <row r="137" spans="1:8" x14ac:dyDescent="0.3">
      <c r="A137" s="3" t="s">
        <v>110</v>
      </c>
      <c r="B137" s="3">
        <v>2023</v>
      </c>
      <c r="C137" s="5">
        <f t="shared" si="1"/>
        <v>494.78816772974773</v>
      </c>
      <c r="D137" s="5">
        <f t="shared" si="1"/>
        <v>904.11341866535759</v>
      </c>
      <c r="E137" s="3" t="s">
        <v>239</v>
      </c>
      <c r="F137" s="3"/>
      <c r="G137" s="5">
        <v>33289.238987354598</v>
      </c>
      <c r="H137" s="7">
        <v>60828.551749168597</v>
      </c>
    </row>
    <row r="138" spans="1:8" x14ac:dyDescent="0.3">
      <c r="A138" s="3" t="s">
        <v>111</v>
      </c>
      <c r="B138" s="3">
        <v>2023</v>
      </c>
      <c r="C138" s="5">
        <f t="shared" si="1"/>
        <v>19898.384436033546</v>
      </c>
      <c r="D138" s="5">
        <f t="shared" si="1"/>
        <v>651.24077094099027</v>
      </c>
      <c r="E138" s="3" t="s">
        <v>245</v>
      </c>
      <c r="F138" s="3"/>
      <c r="G138" s="5">
        <v>1338758.9238293599</v>
      </c>
      <c r="H138" s="7">
        <v>43815.335685239901</v>
      </c>
    </row>
    <row r="139" spans="1:8" x14ac:dyDescent="0.3">
      <c r="A139" s="3" t="s">
        <v>112</v>
      </c>
      <c r="B139" s="3">
        <v>2023</v>
      </c>
      <c r="C139" s="5">
        <f t="shared" si="1"/>
        <v>0</v>
      </c>
      <c r="D139" s="5">
        <f t="shared" si="1"/>
        <v>818.98772032574823</v>
      </c>
      <c r="E139" s="3"/>
      <c r="F139" s="3"/>
      <c r="G139" s="5">
        <v>0</v>
      </c>
      <c r="H139" s="7">
        <v>55101.313507003302</v>
      </c>
    </row>
    <row r="140" spans="1:8" x14ac:dyDescent="0.3">
      <c r="A140" s="3" t="s">
        <v>113</v>
      </c>
      <c r="B140" s="3">
        <v>2023</v>
      </c>
      <c r="C140" s="5">
        <f t="shared" si="1"/>
        <v>836.89432747039302</v>
      </c>
      <c r="D140" s="5">
        <f t="shared" si="1"/>
        <v>2861.5075792088305</v>
      </c>
      <c r="E140" s="3" t="s">
        <v>239</v>
      </c>
      <c r="F140" s="3"/>
      <c r="G140" s="5">
        <v>56306.066093197602</v>
      </c>
      <c r="H140" s="7">
        <v>192521.59991109301</v>
      </c>
    </row>
    <row r="141" spans="1:8" x14ac:dyDescent="0.3">
      <c r="A141" s="3" t="s">
        <v>114</v>
      </c>
      <c r="B141" s="3">
        <v>2023</v>
      </c>
      <c r="C141" s="5">
        <f t="shared" si="1"/>
        <v>0</v>
      </c>
      <c r="D141" s="5">
        <f t="shared" si="1"/>
        <v>4760.6477336458083</v>
      </c>
      <c r="E141" s="3"/>
      <c r="F141" s="3"/>
      <c r="G141" s="5">
        <v>0</v>
      </c>
      <c r="H141" s="7">
        <v>320295.33136795601</v>
      </c>
    </row>
    <row r="142" spans="1:8" x14ac:dyDescent="0.3">
      <c r="A142" s="3" t="s">
        <v>115</v>
      </c>
      <c r="B142" s="3">
        <v>2023</v>
      </c>
      <c r="C142" s="5">
        <f t="shared" si="1"/>
        <v>0</v>
      </c>
      <c r="D142" s="5">
        <f t="shared" si="1"/>
        <v>1037.3981199282887</v>
      </c>
      <c r="E142" s="3"/>
      <c r="F142" s="3"/>
      <c r="G142" s="5">
        <v>0</v>
      </c>
      <c r="H142" s="7">
        <v>69795.917104848093</v>
      </c>
    </row>
    <row r="143" spans="1:8" x14ac:dyDescent="0.3">
      <c r="A143" s="3" t="s">
        <v>116</v>
      </c>
      <c r="B143" s="3">
        <v>2023</v>
      </c>
      <c r="C143" s="5">
        <f t="shared" si="1"/>
        <v>0</v>
      </c>
      <c r="D143" s="5">
        <f t="shared" si="1"/>
        <v>584.96126097876333</v>
      </c>
      <c r="E143" s="3"/>
      <c r="F143" s="3"/>
      <c r="G143" s="5">
        <v>0</v>
      </c>
      <c r="H143" s="7">
        <v>39356.064847739901</v>
      </c>
    </row>
    <row r="144" spans="1:8" x14ac:dyDescent="0.3">
      <c r="A144" s="3" t="s">
        <v>117</v>
      </c>
      <c r="B144" s="3">
        <v>2023</v>
      </c>
      <c r="C144" s="5">
        <f t="shared" si="1"/>
        <v>4457.6588979032695</v>
      </c>
      <c r="D144" s="5">
        <f t="shared" si="1"/>
        <v>10352.703498377326</v>
      </c>
      <c r="E144" s="3" t="s">
        <v>239</v>
      </c>
      <c r="F144" s="3"/>
      <c r="G144" s="5">
        <v>299910.30920824502</v>
      </c>
      <c r="H144" s="7">
        <v>696527.61201626598</v>
      </c>
    </row>
    <row r="145" spans="1:8" x14ac:dyDescent="0.3">
      <c r="A145" s="3" t="s">
        <v>118</v>
      </c>
      <c r="B145" s="3">
        <v>2023</v>
      </c>
      <c r="C145" s="5">
        <f t="shared" si="1"/>
        <v>0</v>
      </c>
      <c r="D145" s="5">
        <f t="shared" si="1"/>
        <v>682.77655754842522</v>
      </c>
      <c r="E145" s="3"/>
      <c r="F145" s="3"/>
      <c r="G145" s="5">
        <v>0</v>
      </c>
      <c r="H145" s="7">
        <v>45937.056464954498</v>
      </c>
    </row>
    <row r="146" spans="1:8" x14ac:dyDescent="0.3">
      <c r="A146" s="3" t="s">
        <v>119</v>
      </c>
      <c r="B146" s="3">
        <v>2023</v>
      </c>
      <c r="C146" s="5">
        <f t="shared" si="1"/>
        <v>0</v>
      </c>
      <c r="D146" s="5">
        <f t="shared" si="1"/>
        <v>556.06486099570873</v>
      </c>
      <c r="E146" s="3"/>
      <c r="F146" s="3"/>
      <c r="G146" s="5">
        <v>0</v>
      </c>
      <c r="H146" s="7">
        <v>37411.921418999897</v>
      </c>
    </row>
    <row r="147" spans="1:8" x14ac:dyDescent="0.3">
      <c r="A147" s="3" t="s">
        <v>120</v>
      </c>
      <c r="B147" s="3">
        <v>2023</v>
      </c>
      <c r="C147" s="5">
        <f t="shared" si="1"/>
        <v>738.45895239419463</v>
      </c>
      <c r="D147" s="5">
        <f t="shared" si="1"/>
        <v>1401.0878679719897</v>
      </c>
      <c r="E147" s="3" t="s">
        <v>239</v>
      </c>
      <c r="F147" s="3"/>
      <c r="G147" s="5">
        <v>49683.355730585899</v>
      </c>
      <c r="H147" s="7">
        <v>94264.883279662405</v>
      </c>
    </row>
    <row r="148" spans="1:8" x14ac:dyDescent="0.3">
      <c r="A148" s="3" t="s">
        <v>121</v>
      </c>
      <c r="B148" s="3">
        <v>2023</v>
      </c>
      <c r="C148" s="5">
        <f t="shared" si="1"/>
        <v>205.6756862689283</v>
      </c>
      <c r="D148" s="5">
        <f t="shared" si="1"/>
        <v>1176.3885888533346</v>
      </c>
      <c r="E148" s="3" t="s">
        <v>246</v>
      </c>
      <c r="F148" s="3"/>
      <c r="G148" s="5">
        <v>13837.814888561001</v>
      </c>
      <c r="H148" s="7">
        <v>79147.165252595907</v>
      </c>
    </row>
    <row r="149" spans="1:8" x14ac:dyDescent="0.3">
      <c r="A149" s="3" t="s">
        <v>122</v>
      </c>
      <c r="B149" s="3">
        <v>2023</v>
      </c>
      <c r="C149" s="5">
        <f t="shared" si="1"/>
        <v>481.87741249516432</v>
      </c>
      <c r="D149" s="5">
        <f t="shared" si="1"/>
        <v>4663.0954342622445</v>
      </c>
      <c r="E149" s="3" t="s">
        <v>239</v>
      </c>
      <c r="F149" s="3"/>
      <c r="G149" s="5">
        <v>32420.606217732598</v>
      </c>
      <c r="H149" s="7">
        <v>313732.03414351802</v>
      </c>
    </row>
    <row r="150" spans="1:8" x14ac:dyDescent="0.3">
      <c r="A150" s="3" t="s">
        <v>123</v>
      </c>
      <c r="B150" s="3">
        <v>2023</v>
      </c>
      <c r="C150" s="5">
        <f t="shared" si="1"/>
        <v>152.75264337304699</v>
      </c>
      <c r="D150" s="5">
        <f t="shared" si="1"/>
        <v>2474.3447474368127</v>
      </c>
      <c r="E150" s="3" t="s">
        <v>239</v>
      </c>
      <c r="F150" s="3"/>
      <c r="G150" s="5">
        <v>10277.164214591599</v>
      </c>
      <c r="H150" s="7">
        <v>166473.36983110601</v>
      </c>
    </row>
    <row r="151" spans="1:8" x14ac:dyDescent="0.3">
      <c r="A151" s="3" t="s">
        <v>124</v>
      </c>
      <c r="B151" s="3">
        <v>2023</v>
      </c>
      <c r="C151" s="5">
        <f t="shared" si="1"/>
        <v>820.46152544746121</v>
      </c>
      <c r="D151" s="5">
        <f t="shared" si="1"/>
        <v>3282.7341009330189</v>
      </c>
      <c r="E151" s="3" t="s">
        <v>239</v>
      </c>
      <c r="F151" s="3"/>
      <c r="G151" s="5">
        <v>55200.470791104497</v>
      </c>
      <c r="H151" s="7">
        <v>220861.62755126</v>
      </c>
    </row>
    <row r="152" spans="1:8" x14ac:dyDescent="0.3">
      <c r="A152" s="3" t="s">
        <v>125</v>
      </c>
      <c r="B152" s="3">
        <v>2023</v>
      </c>
      <c r="C152" s="5">
        <f t="shared" si="1"/>
        <v>1.1672583426784719</v>
      </c>
      <c r="D152" s="5">
        <f t="shared" si="1"/>
        <v>3641.3624106575894</v>
      </c>
      <c r="E152" s="3" t="s">
        <v>239</v>
      </c>
      <c r="F152" s="3"/>
      <c r="G152" s="5">
        <v>78.532884300157306</v>
      </c>
      <c r="H152" s="7">
        <v>244990.06127034</v>
      </c>
    </row>
    <row r="153" spans="1:8" x14ac:dyDescent="0.3">
      <c r="A153" s="3" t="s">
        <v>126</v>
      </c>
      <c r="B153" s="3">
        <v>2023</v>
      </c>
      <c r="C153" s="5">
        <f t="shared" si="1"/>
        <v>13.593447109288967</v>
      </c>
      <c r="D153" s="5">
        <f t="shared" si="1"/>
        <v>737.34148564968609</v>
      </c>
      <c r="E153" s="3" t="s">
        <v>239</v>
      </c>
      <c r="F153" s="3"/>
      <c r="G153" s="5">
        <v>914.56412864393303</v>
      </c>
      <c r="H153" s="7">
        <v>49608.172814047997</v>
      </c>
    </row>
    <row r="154" spans="1:8" x14ac:dyDescent="0.3">
      <c r="A154" s="3" t="s">
        <v>127</v>
      </c>
      <c r="B154" s="3">
        <v>2023</v>
      </c>
      <c r="C154" s="5">
        <f t="shared" si="1"/>
        <v>2069.4972554316141</v>
      </c>
      <c r="D154" s="5">
        <f t="shared" si="1"/>
        <v>1912.2752460181298</v>
      </c>
      <c r="E154" s="3" t="s">
        <v>239</v>
      </c>
      <c r="F154" s="3"/>
      <c r="G154" s="5">
        <v>139235.31970426199</v>
      </c>
      <c r="H154" s="7">
        <v>128657.45752649</v>
      </c>
    </row>
    <row r="155" spans="1:8" x14ac:dyDescent="0.3">
      <c r="A155" s="3" t="s">
        <v>128</v>
      </c>
      <c r="B155" s="3">
        <v>2023</v>
      </c>
      <c r="C155" s="5">
        <f t="shared" si="1"/>
        <v>0</v>
      </c>
      <c r="D155" s="5">
        <f t="shared" si="1"/>
        <v>1514.0098142665151</v>
      </c>
      <c r="E155" s="3"/>
      <c r="F155" s="3"/>
      <c r="G155" s="5">
        <v>0</v>
      </c>
      <c r="H155" s="7">
        <v>101862.24696433501</v>
      </c>
    </row>
    <row r="156" spans="1:8" x14ac:dyDescent="0.3">
      <c r="A156" s="3" t="s">
        <v>129</v>
      </c>
      <c r="B156" s="3">
        <v>2023</v>
      </c>
      <c r="C156" s="5">
        <f t="shared" ref="C156:D219" si="2">G156*$C$6</f>
        <v>0.58628790529470953</v>
      </c>
      <c r="D156" s="5">
        <f t="shared" si="2"/>
        <v>977.36468911436214</v>
      </c>
      <c r="E156" s="3" t="s">
        <v>239</v>
      </c>
      <c r="F156" s="3"/>
      <c r="G156" s="5">
        <v>39.445321185229503</v>
      </c>
      <c r="H156" s="7">
        <v>65756.881097246602</v>
      </c>
    </row>
    <row r="157" spans="1:8" x14ac:dyDescent="0.3">
      <c r="A157" s="3" t="s">
        <v>130</v>
      </c>
      <c r="B157" s="3">
        <v>2023</v>
      </c>
      <c r="C157" s="5">
        <f t="shared" si="2"/>
        <v>3.7044983414131161</v>
      </c>
      <c r="D157" s="5">
        <f t="shared" si="2"/>
        <v>4841.2069300773474</v>
      </c>
      <c r="E157" s="3" t="s">
        <v>239</v>
      </c>
      <c r="F157" s="3"/>
      <c r="G157" s="5">
        <v>249.23783279093499</v>
      </c>
      <c r="H157" s="7">
        <v>325715.33636715298</v>
      </c>
    </row>
    <row r="158" spans="1:8" x14ac:dyDescent="0.3">
      <c r="A158" s="3" t="s">
        <v>131</v>
      </c>
      <c r="B158" s="3">
        <v>2023</v>
      </c>
      <c r="C158" s="5">
        <f t="shared" si="2"/>
        <v>0</v>
      </c>
      <c r="D158" s="5">
        <f t="shared" si="2"/>
        <v>265.22726456580585</v>
      </c>
      <c r="E158" s="3"/>
      <c r="F158" s="3"/>
      <c r="G158" s="5">
        <v>0</v>
      </c>
      <c r="H158" s="7">
        <v>17844.431964904899</v>
      </c>
    </row>
    <row r="159" spans="1:8" x14ac:dyDescent="0.3">
      <c r="A159" s="3" t="s">
        <v>132</v>
      </c>
      <c r="B159" s="3">
        <v>2023</v>
      </c>
      <c r="C159" s="5">
        <f t="shared" si="2"/>
        <v>0</v>
      </c>
      <c r="D159" s="5">
        <f t="shared" si="2"/>
        <v>711.21302130963602</v>
      </c>
      <c r="E159" s="3"/>
      <c r="F159" s="3"/>
      <c r="G159" s="5">
        <v>0</v>
      </c>
      <c r="H159" s="7">
        <v>47850.255485952999</v>
      </c>
    </row>
    <row r="160" spans="1:8" x14ac:dyDescent="0.3">
      <c r="A160" s="3" t="s">
        <v>133</v>
      </c>
      <c r="B160" s="3">
        <v>2023</v>
      </c>
      <c r="C160" s="5">
        <f t="shared" si="2"/>
        <v>0</v>
      </c>
      <c r="D160" s="5">
        <f t="shared" si="2"/>
        <v>2720.4638341414989</v>
      </c>
      <c r="E160" s="3"/>
      <c r="F160" s="3"/>
      <c r="G160" s="5">
        <v>0</v>
      </c>
      <c r="H160" s="7">
        <v>183032.207796562</v>
      </c>
    </row>
    <row r="161" spans="1:8" x14ac:dyDescent="0.3">
      <c r="A161" s="3" t="s">
        <v>134</v>
      </c>
      <c r="B161" s="3">
        <v>2023</v>
      </c>
      <c r="C161" s="5">
        <f t="shared" si="2"/>
        <v>0</v>
      </c>
      <c r="D161" s="5">
        <f t="shared" si="2"/>
        <v>7358.4001986299472</v>
      </c>
      <c r="E161" s="3"/>
      <c r="F161" s="3"/>
      <c r="G161" s="5">
        <v>0</v>
      </c>
      <c r="H161" s="7">
        <v>495071.54526497098</v>
      </c>
    </row>
    <row r="162" spans="1:8" x14ac:dyDescent="0.3">
      <c r="A162" s="3" t="s">
        <v>135</v>
      </c>
      <c r="B162" s="3">
        <v>2023</v>
      </c>
      <c r="C162" s="5">
        <f t="shared" si="2"/>
        <v>0</v>
      </c>
      <c r="D162" s="5">
        <f t="shared" si="2"/>
        <v>1570.4691868638272</v>
      </c>
      <c r="E162" s="3"/>
      <c r="F162" s="3"/>
      <c r="G162" s="5">
        <v>0</v>
      </c>
      <c r="H162" s="7">
        <v>105660.821122023</v>
      </c>
    </row>
    <row r="163" spans="1:8" x14ac:dyDescent="0.3">
      <c r="A163" s="3" t="s">
        <v>136</v>
      </c>
      <c r="B163" s="3">
        <v>2023</v>
      </c>
      <c r="C163" s="5">
        <f t="shared" si="2"/>
        <v>78.448607134227473</v>
      </c>
      <c r="D163" s="5">
        <f t="shared" si="2"/>
        <v>1731.7165561488102</v>
      </c>
      <c r="E163" s="3" t="s">
        <v>247</v>
      </c>
      <c r="F163" s="3"/>
      <c r="G163" s="5">
        <v>5278.0050159622697</v>
      </c>
      <c r="H163" s="7">
        <v>116509.50862568599</v>
      </c>
    </row>
    <row r="164" spans="1:8" x14ac:dyDescent="0.3">
      <c r="A164" s="3" t="s">
        <v>137</v>
      </c>
      <c r="B164" s="3">
        <v>2023</v>
      </c>
      <c r="C164" s="5">
        <f>3.81*C3/10000</f>
        <v>44605.574999999997</v>
      </c>
      <c r="D164" s="5">
        <f t="shared" si="2"/>
        <v>9092.7642599088285</v>
      </c>
      <c r="E164" s="3" t="s">
        <v>281</v>
      </c>
      <c r="F164" s="3" t="s">
        <v>234</v>
      </c>
      <c r="G164" s="5">
        <v>12555.9883808133</v>
      </c>
      <c r="H164" s="7">
        <v>611759.17745290697</v>
      </c>
    </row>
    <row r="165" spans="1:8" x14ac:dyDescent="0.3">
      <c r="A165" s="3" t="s">
        <v>138</v>
      </c>
      <c r="B165" s="3">
        <v>2023</v>
      </c>
      <c r="C165" s="5">
        <f t="shared" si="2"/>
        <v>0</v>
      </c>
      <c r="D165" s="5">
        <f t="shared" si="2"/>
        <v>2326.4049193520095</v>
      </c>
      <c r="E165" s="3"/>
      <c r="F165" s="3"/>
      <c r="G165" s="5">
        <v>0</v>
      </c>
      <c r="H165" s="7">
        <v>156520.01076947001</v>
      </c>
    </row>
    <row r="166" spans="1:8" x14ac:dyDescent="0.3">
      <c r="A166" s="3" t="s">
        <v>139</v>
      </c>
      <c r="B166" s="3">
        <v>2023</v>
      </c>
      <c r="C166" s="5">
        <f>1.71*C3/10000</f>
        <v>20019.825000000001</v>
      </c>
      <c r="D166" s="5">
        <f t="shared" si="2"/>
        <v>542.87437753175766</v>
      </c>
      <c r="E166" s="3" t="s">
        <v>230</v>
      </c>
      <c r="F166" s="3"/>
      <c r="G166" s="5">
        <v>654528.98533950699</v>
      </c>
      <c r="H166" s="7">
        <v>36524.468595693797</v>
      </c>
    </row>
    <row r="167" spans="1:8" x14ac:dyDescent="0.3">
      <c r="A167" s="3" t="s">
        <v>140</v>
      </c>
      <c r="B167" s="3">
        <v>2023</v>
      </c>
      <c r="C167" s="5">
        <f t="shared" si="2"/>
        <v>0</v>
      </c>
      <c r="D167" s="5">
        <f t="shared" si="2"/>
        <v>3588.7794619025071</v>
      </c>
      <c r="E167" s="3"/>
      <c r="F167" s="3"/>
      <c r="G167" s="5">
        <v>0</v>
      </c>
      <c r="H167" s="7">
        <v>241452.29205528501</v>
      </c>
    </row>
    <row r="168" spans="1:8" x14ac:dyDescent="0.3">
      <c r="A168" s="3" t="s">
        <v>141</v>
      </c>
      <c r="B168" s="3">
        <v>2023</v>
      </c>
      <c r="C168" s="5">
        <f t="shared" si="2"/>
        <v>0</v>
      </c>
      <c r="D168" s="5">
        <f t="shared" si="2"/>
        <v>7102.67803205582</v>
      </c>
      <c r="E168" s="3"/>
      <c r="F168" s="3"/>
      <c r="G168" s="5">
        <v>0</v>
      </c>
      <c r="H168" s="7">
        <v>477866.61420020898</v>
      </c>
    </row>
    <row r="169" spans="1:8" ht="28" x14ac:dyDescent="0.3">
      <c r="A169" s="3" t="s">
        <v>142</v>
      </c>
      <c r="B169" s="3">
        <v>2023</v>
      </c>
      <c r="C169" s="5">
        <f>1.82*C3/10000</f>
        <v>21307.65</v>
      </c>
      <c r="D169" s="5">
        <f t="shared" si="2"/>
        <v>23821.622249198761</v>
      </c>
      <c r="E169" s="3" t="s">
        <v>279</v>
      </c>
      <c r="F169" s="3"/>
      <c r="G169" s="5">
        <v>20203213.297331899</v>
      </c>
      <c r="H169" s="7">
        <v>1602713.5001199101</v>
      </c>
    </row>
    <row r="170" spans="1:8" x14ac:dyDescent="0.3">
      <c r="A170" s="3" t="s">
        <v>143</v>
      </c>
      <c r="B170" s="3">
        <v>2023</v>
      </c>
      <c r="C170" s="5">
        <f t="shared" si="2"/>
        <v>0</v>
      </c>
      <c r="D170" s="5">
        <f t="shared" si="2"/>
        <v>14371.661330467197</v>
      </c>
      <c r="E170" s="3"/>
      <c r="F170" s="3"/>
      <c r="G170" s="5">
        <v>0</v>
      </c>
      <c r="H170" s="7">
        <v>966922.21010539203</v>
      </c>
    </row>
    <row r="171" spans="1:8" x14ac:dyDescent="0.3">
      <c r="A171" s="3" t="s">
        <v>144</v>
      </c>
      <c r="B171" s="3">
        <v>2023</v>
      </c>
      <c r="C171" s="5">
        <f t="shared" si="2"/>
        <v>1172.5584723124516</v>
      </c>
      <c r="D171" s="5">
        <f t="shared" si="2"/>
        <v>19888.626368123267</v>
      </c>
      <c r="E171" s="3" t="s">
        <v>238</v>
      </c>
      <c r="F171" s="3"/>
      <c r="G171" s="5">
        <v>78889.475855002005</v>
      </c>
      <c r="H171" s="7">
        <v>1338102.40316879</v>
      </c>
    </row>
    <row r="172" spans="1:8" x14ac:dyDescent="0.3">
      <c r="A172" s="3" t="s">
        <v>145</v>
      </c>
      <c r="B172" s="3">
        <v>2023</v>
      </c>
      <c r="C172" s="5">
        <f>2.54*C3/10000</f>
        <v>29737.05</v>
      </c>
      <c r="D172" s="5">
        <f t="shared" si="2"/>
        <v>955.48027443561318</v>
      </c>
      <c r="E172" s="3" t="s">
        <v>229</v>
      </c>
      <c r="F172" s="3"/>
      <c r="G172" s="5">
        <v>617697.768802237</v>
      </c>
      <c r="H172" s="7">
        <v>64284.502495951601</v>
      </c>
    </row>
    <row r="173" spans="1:8" x14ac:dyDescent="0.3">
      <c r="A173" s="3" t="s">
        <v>146</v>
      </c>
      <c r="B173" s="3">
        <v>2023</v>
      </c>
      <c r="C173" s="5">
        <f t="shared" si="2"/>
        <v>0</v>
      </c>
      <c r="D173" s="5">
        <f t="shared" si="2"/>
        <v>10717.292315235218</v>
      </c>
      <c r="E173" s="3"/>
      <c r="F173" s="3"/>
      <c r="G173" s="5">
        <v>0</v>
      </c>
      <c r="H173" s="7">
        <v>721057.06734295096</v>
      </c>
    </row>
    <row r="174" spans="1:8" x14ac:dyDescent="0.3">
      <c r="A174" s="3" t="s">
        <v>147</v>
      </c>
      <c r="B174" s="3">
        <v>2023</v>
      </c>
      <c r="C174" s="5">
        <f t="shared" si="2"/>
        <v>0</v>
      </c>
      <c r="D174" s="5">
        <f t="shared" si="2"/>
        <v>3233.228193021605</v>
      </c>
      <c r="E174" s="3"/>
      <c r="F174" s="3"/>
      <c r="G174" s="5">
        <v>0</v>
      </c>
      <c r="H174" s="7">
        <v>217530.880966695</v>
      </c>
    </row>
    <row r="175" spans="1:8" x14ac:dyDescent="0.3">
      <c r="A175" s="3" t="s">
        <v>148</v>
      </c>
      <c r="B175" s="3">
        <v>2023</v>
      </c>
      <c r="C175" s="5">
        <f t="shared" si="2"/>
        <v>0</v>
      </c>
      <c r="D175" s="5">
        <f t="shared" si="2"/>
        <v>8089.1661498202056</v>
      </c>
      <c r="E175" s="3"/>
      <c r="F175" s="3"/>
      <c r="G175" s="5">
        <v>0</v>
      </c>
      <c r="H175" s="7">
        <v>544237.31756832404</v>
      </c>
    </row>
    <row r="176" spans="1:8" x14ac:dyDescent="0.3">
      <c r="A176" s="3" t="s">
        <v>149</v>
      </c>
      <c r="B176" s="3">
        <v>2023</v>
      </c>
      <c r="C176" s="5">
        <f t="shared" si="2"/>
        <v>0</v>
      </c>
      <c r="D176" s="5">
        <f t="shared" si="2"/>
        <v>1975.4704494182322</v>
      </c>
      <c r="E176" s="3"/>
      <c r="F176" s="3"/>
      <c r="G176" s="5">
        <v>0</v>
      </c>
      <c r="H176" s="7">
        <v>132909.216897562</v>
      </c>
    </row>
    <row r="177" spans="1:8" x14ac:dyDescent="0.3">
      <c r="A177" s="3" t="s">
        <v>150</v>
      </c>
      <c r="B177" s="3">
        <v>2023</v>
      </c>
      <c r="C177" s="5">
        <f t="shared" si="2"/>
        <v>0</v>
      </c>
      <c r="D177" s="5">
        <f t="shared" si="2"/>
        <v>678.55513003070928</v>
      </c>
      <c r="E177" s="3"/>
      <c r="F177" s="3"/>
      <c r="G177" s="5">
        <v>0</v>
      </c>
      <c r="H177" s="7">
        <v>45653.039750994198</v>
      </c>
    </row>
    <row r="178" spans="1:8" x14ac:dyDescent="0.3">
      <c r="A178" s="3" t="s">
        <v>151</v>
      </c>
      <c r="B178" s="3">
        <v>2023</v>
      </c>
      <c r="C178" s="5">
        <f t="shared" si="2"/>
        <v>0</v>
      </c>
      <c r="D178" s="5">
        <f t="shared" si="2"/>
        <v>807.7667317234492</v>
      </c>
      <c r="E178" s="3"/>
      <c r="F178" s="3"/>
      <c r="G178" s="5">
        <v>0</v>
      </c>
      <c r="H178" s="7">
        <v>54346.3678643655</v>
      </c>
    </row>
    <row r="179" spans="1:8" x14ac:dyDescent="0.3">
      <c r="A179" s="3" t="s">
        <v>152</v>
      </c>
      <c r="B179" s="3">
        <v>2023</v>
      </c>
      <c r="C179" s="5">
        <f t="shared" si="2"/>
        <v>0</v>
      </c>
      <c r="D179" s="5">
        <f t="shared" si="2"/>
        <v>2119.7064413489543</v>
      </c>
      <c r="E179" s="3"/>
      <c r="F179" s="3"/>
      <c r="G179" s="5">
        <v>0</v>
      </c>
      <c r="H179" s="7">
        <v>142613.382678225</v>
      </c>
    </row>
    <row r="180" spans="1:8" x14ac:dyDescent="0.3">
      <c r="A180" s="3" t="s">
        <v>153</v>
      </c>
      <c r="B180" s="3">
        <v>2023</v>
      </c>
      <c r="C180" s="5">
        <f t="shared" si="2"/>
        <v>0</v>
      </c>
      <c r="D180" s="5">
        <f t="shared" si="2"/>
        <v>4648.8966206173636</v>
      </c>
      <c r="E180" s="3"/>
      <c r="F180" s="3"/>
      <c r="G180" s="5">
        <v>0</v>
      </c>
      <c r="H180" s="7">
        <v>312776.74108764302</v>
      </c>
    </row>
    <row r="181" spans="1:8" x14ac:dyDescent="0.3">
      <c r="A181" s="3" t="s">
        <v>154</v>
      </c>
      <c r="B181" s="3">
        <v>2023</v>
      </c>
      <c r="C181" s="5">
        <f t="shared" si="2"/>
        <v>0</v>
      </c>
      <c r="D181" s="5">
        <f t="shared" si="2"/>
        <v>2973.2465310754205</v>
      </c>
      <c r="E181" s="3"/>
      <c r="F181" s="3"/>
      <c r="G181" s="5">
        <v>0</v>
      </c>
      <c r="H181" s="7">
        <v>200039.37199111399</v>
      </c>
    </row>
    <row r="182" spans="1:8" x14ac:dyDescent="0.3">
      <c r="A182" s="3" t="s">
        <v>155</v>
      </c>
      <c r="B182" s="3">
        <v>2023</v>
      </c>
      <c r="C182" s="5">
        <f t="shared" si="2"/>
        <v>4576.6382101680019</v>
      </c>
      <c r="D182" s="5">
        <f t="shared" si="2"/>
        <v>3387.9655208870322</v>
      </c>
      <c r="E182" s="3"/>
      <c r="F182" s="3"/>
      <c r="G182" s="5">
        <v>307915.211141743</v>
      </c>
      <c r="H182" s="7">
        <v>227941.574316966</v>
      </c>
    </row>
    <row r="183" spans="1:8" x14ac:dyDescent="0.3">
      <c r="A183" s="3" t="s">
        <v>156</v>
      </c>
      <c r="B183" s="3">
        <v>2023</v>
      </c>
      <c r="C183" s="5">
        <f t="shared" si="2"/>
        <v>0</v>
      </c>
      <c r="D183" s="5">
        <f t="shared" si="2"/>
        <v>4225.4238445221908</v>
      </c>
      <c r="E183" s="3"/>
      <c r="F183" s="3"/>
      <c r="G183" s="5">
        <v>0</v>
      </c>
      <c r="H183" s="7">
        <v>284285.58594795398</v>
      </c>
    </row>
    <row r="184" spans="1:8" x14ac:dyDescent="0.3">
      <c r="A184" s="3" t="s">
        <v>157</v>
      </c>
      <c r="B184" s="3">
        <v>2023</v>
      </c>
      <c r="C184" s="5">
        <f>0.2*C3/10000</f>
        <v>2341.5</v>
      </c>
      <c r="D184" s="5">
        <f t="shared" si="2"/>
        <v>11189.584370514531</v>
      </c>
      <c r="E184" s="3" t="s">
        <v>232</v>
      </c>
      <c r="F184" s="3"/>
      <c r="G184" s="5">
        <v>6691424.9548353897</v>
      </c>
      <c r="H184" s="7">
        <v>752832.77283760905</v>
      </c>
    </row>
    <row r="185" spans="1:8" x14ac:dyDescent="0.3">
      <c r="A185" s="3" t="s">
        <v>158</v>
      </c>
      <c r="B185" s="3">
        <v>2023</v>
      </c>
      <c r="C185" s="5">
        <f t="shared" si="2"/>
        <v>64189.198267411215</v>
      </c>
      <c r="D185" s="5">
        <f t="shared" si="2"/>
        <v>6550.463944311502</v>
      </c>
      <c r="E185" s="3"/>
      <c r="F185" s="3"/>
      <c r="G185" s="5">
        <v>4318635.1268966896</v>
      </c>
      <c r="H185" s="7">
        <v>440713.77195773798</v>
      </c>
    </row>
    <row r="186" spans="1:8" x14ac:dyDescent="0.3">
      <c r="A186" s="3" t="s">
        <v>159</v>
      </c>
      <c r="B186" s="3">
        <v>2023</v>
      </c>
      <c r="C186" s="5">
        <f t="shared" si="2"/>
        <v>3511.1632325959827</v>
      </c>
      <c r="D186" s="5">
        <f t="shared" si="2"/>
        <v>1116.6520841319646</v>
      </c>
      <c r="E186" s="3"/>
      <c r="F186" s="3"/>
      <c r="G186" s="5">
        <v>236230.28923630601</v>
      </c>
      <c r="H186" s="7">
        <v>75128.106367127402</v>
      </c>
    </row>
    <row r="187" spans="1:8" x14ac:dyDescent="0.3">
      <c r="A187" s="3" t="s">
        <v>160</v>
      </c>
      <c r="B187" s="3">
        <v>2023</v>
      </c>
      <c r="C187" s="5">
        <f t="shared" si="2"/>
        <v>26910.97903975159</v>
      </c>
      <c r="D187" s="5">
        <f t="shared" si="2"/>
        <v>1306.0527793100541</v>
      </c>
      <c r="E187" s="3"/>
      <c r="F187" s="3"/>
      <c r="G187" s="5">
        <v>1810564.7448046701</v>
      </c>
      <c r="H187" s="7">
        <v>87870.943438361297</v>
      </c>
    </row>
    <row r="188" spans="1:8" x14ac:dyDescent="0.3">
      <c r="A188" s="3" t="s">
        <v>161</v>
      </c>
      <c r="B188" s="3">
        <v>2023</v>
      </c>
      <c r="C188" s="5">
        <f t="shared" si="2"/>
        <v>1278.7509171962101</v>
      </c>
      <c r="D188" s="5">
        <f t="shared" si="2"/>
        <v>1468.5975237563048</v>
      </c>
      <c r="E188" s="3"/>
      <c r="F188" s="3"/>
      <c r="G188" s="5">
        <v>86034.080166392407</v>
      </c>
      <c r="H188" s="7">
        <v>98806.918057231305</v>
      </c>
    </row>
    <row r="189" spans="1:8" x14ac:dyDescent="0.3">
      <c r="A189" s="3" t="s">
        <v>162</v>
      </c>
      <c r="B189" s="3">
        <v>2023</v>
      </c>
      <c r="C189" s="5">
        <f t="shared" si="2"/>
        <v>88708.5166173662</v>
      </c>
      <c r="D189" s="5">
        <f t="shared" si="2"/>
        <v>5259.2367312937349</v>
      </c>
      <c r="E189" s="3"/>
      <c r="F189" s="3"/>
      <c r="G189" s="5">
        <v>5968289.4670637399</v>
      </c>
      <c r="H189" s="7">
        <v>353840.28935537703</v>
      </c>
    </row>
    <row r="190" spans="1:8" x14ac:dyDescent="0.3">
      <c r="A190" s="3" t="s">
        <v>163</v>
      </c>
      <c r="B190" s="3">
        <v>2023</v>
      </c>
      <c r="C190" s="5">
        <f t="shared" si="2"/>
        <v>331.69393574872964</v>
      </c>
      <c r="D190" s="5">
        <f t="shared" si="2"/>
        <v>43.186778256191815</v>
      </c>
      <c r="E190" s="3"/>
      <c r="F190" s="3"/>
      <c r="G190" s="5">
        <v>22316.294968126102</v>
      </c>
      <c r="H190" s="7">
        <v>2905.5969326443201</v>
      </c>
    </row>
    <row r="191" spans="1:8" x14ac:dyDescent="0.3">
      <c r="A191" s="3" t="s">
        <v>164</v>
      </c>
      <c r="B191" s="3">
        <v>2023</v>
      </c>
      <c r="C191" s="5">
        <f t="shared" si="2"/>
        <v>6003.173761432301</v>
      </c>
      <c r="D191" s="5">
        <f t="shared" si="2"/>
        <v>669.40392366195556</v>
      </c>
      <c r="E191" s="3"/>
      <c r="F191" s="3"/>
      <c r="G191" s="5">
        <v>403892.20895049599</v>
      </c>
      <c r="H191" s="7">
        <v>45037.348601325401</v>
      </c>
    </row>
    <row r="192" spans="1:8" x14ac:dyDescent="0.3">
      <c r="A192" s="3" t="s">
        <v>165</v>
      </c>
      <c r="B192" s="3">
        <v>2023</v>
      </c>
      <c r="C192" s="5">
        <f t="shared" si="2"/>
        <v>2598.3627880683666</v>
      </c>
      <c r="D192" s="5">
        <f t="shared" si="2"/>
        <v>680.5815936342907</v>
      </c>
      <c r="E192" s="3"/>
      <c r="F192" s="3"/>
      <c r="G192" s="5">
        <v>174817.276299747</v>
      </c>
      <c r="H192" s="7">
        <v>45789.379776076697</v>
      </c>
    </row>
    <row r="193" spans="1:8" x14ac:dyDescent="0.3">
      <c r="A193" s="3" t="s">
        <v>166</v>
      </c>
      <c r="B193" s="3">
        <v>2023</v>
      </c>
      <c r="C193" s="5">
        <f t="shared" si="2"/>
        <v>2229.8887165719443</v>
      </c>
      <c r="D193" s="5">
        <f t="shared" si="2"/>
        <v>117.61327421206282</v>
      </c>
      <c r="E193" s="3"/>
      <c r="F193" s="3"/>
      <c r="G193" s="5">
        <v>150026.42189639801</v>
      </c>
      <c r="H193" s="7">
        <v>7912.9951940749197</v>
      </c>
    </row>
    <row r="194" spans="1:8" x14ac:dyDescent="0.3">
      <c r="A194" s="3" t="s">
        <v>167</v>
      </c>
      <c r="B194" s="3">
        <v>2023</v>
      </c>
      <c r="C194" s="5">
        <f t="shared" si="2"/>
        <v>161.03050776210864</v>
      </c>
      <c r="D194" s="5">
        <f t="shared" si="2"/>
        <v>250.50081723147812</v>
      </c>
      <c r="E194" s="3"/>
      <c r="F194" s="3"/>
      <c r="G194" s="5">
        <v>10834.097108150399</v>
      </c>
      <c r="H194" s="7">
        <v>16853.639830573</v>
      </c>
    </row>
    <row r="195" spans="1:8" x14ac:dyDescent="0.3">
      <c r="A195" s="3" t="s">
        <v>168</v>
      </c>
      <c r="B195" s="3">
        <v>2023</v>
      </c>
      <c r="C195" s="5">
        <f t="shared" si="2"/>
        <v>10712.620321213653</v>
      </c>
      <c r="D195" s="5">
        <f t="shared" si="2"/>
        <v>4087.769672646808</v>
      </c>
      <c r="E195" s="3"/>
      <c r="F195" s="3"/>
      <c r="G195" s="5">
        <v>720742.73661381297</v>
      </c>
      <c r="H195" s="7">
        <v>275024.243571495</v>
      </c>
    </row>
    <row r="196" spans="1:8" x14ac:dyDescent="0.3">
      <c r="A196" s="3" t="s">
        <v>169</v>
      </c>
      <c r="B196" s="3">
        <v>2023</v>
      </c>
      <c r="C196" s="5">
        <f t="shared" si="2"/>
        <v>4702.8262638028373</v>
      </c>
      <c r="D196" s="5">
        <f t="shared" si="2"/>
        <v>742.01146631240408</v>
      </c>
      <c r="E196" s="3"/>
      <c r="F196" s="3"/>
      <c r="G196" s="5">
        <v>316405.11560747301</v>
      </c>
      <c r="H196" s="7">
        <v>49922.368084846101</v>
      </c>
    </row>
    <row r="197" spans="1:8" x14ac:dyDescent="0.3">
      <c r="A197" s="3" t="s">
        <v>170</v>
      </c>
      <c r="B197" s="3">
        <v>2023</v>
      </c>
      <c r="C197" s="5">
        <f t="shared" si="2"/>
        <v>4784.6815173102223</v>
      </c>
      <c r="D197" s="5">
        <f t="shared" si="2"/>
        <v>957.94472181700939</v>
      </c>
      <c r="E197" s="3"/>
      <c r="F197" s="3"/>
      <c r="G197" s="5">
        <v>321912.31904138002</v>
      </c>
      <c r="H197" s="7">
        <v>64450.309973174597</v>
      </c>
    </row>
    <row r="198" spans="1:8" x14ac:dyDescent="0.3">
      <c r="A198" s="3" t="s">
        <v>171</v>
      </c>
      <c r="B198" s="3">
        <v>2023</v>
      </c>
      <c r="C198" s="5">
        <f t="shared" si="2"/>
        <v>11004.500283976475</v>
      </c>
      <c r="D198" s="5">
        <f t="shared" si="2"/>
        <v>1691.003192776418</v>
      </c>
      <c r="E198" s="3"/>
      <c r="F198" s="3"/>
      <c r="G198" s="5">
        <v>740380.35624528897</v>
      </c>
      <c r="H198" s="7">
        <v>113770.322501852</v>
      </c>
    </row>
    <row r="199" spans="1:8" x14ac:dyDescent="0.3">
      <c r="A199" s="3" t="s">
        <v>172</v>
      </c>
      <c r="B199" s="3">
        <v>2023</v>
      </c>
      <c r="C199" s="5">
        <f t="shared" si="2"/>
        <v>2053.9689340383879</v>
      </c>
      <c r="D199" s="5">
        <f t="shared" si="2"/>
        <v>17941.0623069824</v>
      </c>
      <c r="E199" s="3"/>
      <c r="F199" s="3"/>
      <c r="G199" s="5">
        <v>138190.57765979599</v>
      </c>
      <c r="H199" s="7">
        <v>1207070.72193038</v>
      </c>
    </row>
    <row r="200" spans="1:8" x14ac:dyDescent="0.3">
      <c r="A200" s="3" t="s">
        <v>173</v>
      </c>
      <c r="B200" s="3">
        <v>2023</v>
      </c>
      <c r="C200" s="5">
        <f t="shared" si="2"/>
        <v>2801.5519373776965</v>
      </c>
      <c r="D200" s="5">
        <f t="shared" si="2"/>
        <v>556590.71868303302</v>
      </c>
      <c r="E200" s="3"/>
      <c r="F200" s="3"/>
      <c r="G200" s="5">
        <v>188487.79752912701</v>
      </c>
      <c r="H200" s="7">
        <v>37447301.008424997</v>
      </c>
    </row>
    <row r="201" spans="1:8" x14ac:dyDescent="0.3">
      <c r="A201" s="3" t="s">
        <v>174</v>
      </c>
      <c r="B201" s="3">
        <v>2023</v>
      </c>
      <c r="C201" s="5">
        <f t="shared" si="2"/>
        <v>121.91885697963163</v>
      </c>
      <c r="D201" s="5">
        <f t="shared" si="2"/>
        <v>10875.942199104962</v>
      </c>
      <c r="E201" s="3"/>
      <c r="F201" s="3"/>
      <c r="G201" s="5">
        <v>8202.6738547168607</v>
      </c>
      <c r="H201" s="7">
        <v>731730.99659976503</v>
      </c>
    </row>
    <row r="202" spans="1:8" x14ac:dyDescent="0.3">
      <c r="A202" s="3" t="s">
        <v>175</v>
      </c>
      <c r="B202" s="3">
        <v>2023</v>
      </c>
      <c r="C202" s="5">
        <f t="shared" si="2"/>
        <v>13.283544090197235</v>
      </c>
      <c r="D202" s="5">
        <f t="shared" si="2"/>
        <v>168.40801854978301</v>
      </c>
      <c r="E202" s="3"/>
      <c r="F202" s="3"/>
      <c r="G202" s="5">
        <v>893.71392175078404</v>
      </c>
      <c r="H202" s="7">
        <v>11330.4544096387</v>
      </c>
    </row>
    <row r="203" spans="1:8" x14ac:dyDescent="0.3">
      <c r="A203" s="3" t="s">
        <v>176</v>
      </c>
      <c r="B203" s="3">
        <v>2023</v>
      </c>
      <c r="C203" s="5">
        <f t="shared" si="2"/>
        <v>1942.5349580430302</v>
      </c>
      <c r="D203" s="5">
        <f t="shared" si="2"/>
        <v>9558.4850857618112</v>
      </c>
      <c r="E203" s="3"/>
      <c r="F203" s="3"/>
      <c r="G203" s="5">
        <v>130693.32428924501</v>
      </c>
      <c r="H203" s="7">
        <v>643092.77207854902</v>
      </c>
    </row>
    <row r="204" spans="1:8" x14ac:dyDescent="0.3">
      <c r="A204" s="3" t="s">
        <v>177</v>
      </c>
      <c r="B204" s="3">
        <v>2023</v>
      </c>
      <c r="C204" s="5">
        <f t="shared" si="2"/>
        <v>0</v>
      </c>
      <c r="D204" s="5">
        <f t="shared" si="2"/>
        <v>5930.3523641245893</v>
      </c>
      <c r="E204" s="3"/>
      <c r="F204" s="3"/>
      <c r="G204" s="5">
        <v>0</v>
      </c>
      <c r="H204" s="7">
        <v>398992.801372719</v>
      </c>
    </row>
    <row r="205" spans="1:8" x14ac:dyDescent="0.3">
      <c r="A205" s="3" t="s">
        <v>178</v>
      </c>
      <c r="B205" s="3">
        <v>2023</v>
      </c>
      <c r="C205" s="5">
        <f t="shared" si="2"/>
        <v>30.115416362998367</v>
      </c>
      <c r="D205" s="5">
        <f t="shared" si="2"/>
        <v>8209.2238468756186</v>
      </c>
      <c r="E205" s="3"/>
      <c r="F205" s="3"/>
      <c r="G205" s="5">
        <v>2026.1585823918001</v>
      </c>
      <c r="H205" s="7">
        <v>552314.77299311105</v>
      </c>
    </row>
    <row r="206" spans="1:8" x14ac:dyDescent="0.3">
      <c r="A206" s="3" t="s">
        <v>179</v>
      </c>
      <c r="B206" s="3">
        <v>2023</v>
      </c>
      <c r="C206" s="5">
        <f t="shared" si="2"/>
        <v>58348.036263424699</v>
      </c>
      <c r="D206" s="5">
        <f t="shared" si="2"/>
        <v>6527.4446642120447</v>
      </c>
      <c r="E206" s="3"/>
      <c r="F206" s="3"/>
      <c r="G206" s="5">
        <v>3925643.0333170202</v>
      </c>
      <c r="H206" s="7">
        <v>439165.03986080101</v>
      </c>
    </row>
    <row r="207" spans="1:8" x14ac:dyDescent="0.3">
      <c r="A207" s="3" t="s">
        <v>180</v>
      </c>
      <c r="B207" s="3">
        <v>2023</v>
      </c>
      <c r="C207" s="5">
        <f t="shared" si="2"/>
        <v>8544.0343752197405</v>
      </c>
      <c r="D207" s="5">
        <f t="shared" si="2"/>
        <v>974.83576773606273</v>
      </c>
      <c r="E207" s="3"/>
      <c r="F207" s="3"/>
      <c r="G207" s="5">
        <v>574840.751624875</v>
      </c>
      <c r="H207" s="7">
        <v>65586.735823707204</v>
      </c>
    </row>
    <row r="208" spans="1:8" x14ac:dyDescent="0.3">
      <c r="A208" s="3" t="s">
        <v>181</v>
      </c>
      <c r="B208" s="3">
        <v>2023</v>
      </c>
      <c r="C208" s="5">
        <f t="shared" si="2"/>
        <v>14851.122603009</v>
      </c>
      <c r="D208" s="5">
        <f t="shared" si="2"/>
        <v>1173.5089772525953</v>
      </c>
      <c r="E208" s="3"/>
      <c r="F208" s="3"/>
      <c r="G208" s="5">
        <v>999180.25895902398</v>
      </c>
      <c r="H208" s="7">
        <v>78953.425618102206</v>
      </c>
    </row>
    <row r="209" spans="1:8" x14ac:dyDescent="0.3">
      <c r="A209" s="3" t="s">
        <v>182</v>
      </c>
      <c r="B209" s="3">
        <v>2023</v>
      </c>
      <c r="C209" s="5">
        <f>4.3*C3/10000</f>
        <v>50342.25</v>
      </c>
      <c r="D209" s="5">
        <f t="shared" si="2"/>
        <v>3197.664053206443</v>
      </c>
      <c r="E209" s="3" t="s">
        <v>231</v>
      </c>
      <c r="F209" s="3"/>
      <c r="G209" s="5">
        <v>1612764.9823282501</v>
      </c>
      <c r="H209" s="7">
        <v>215138.13347008699</v>
      </c>
    </row>
    <row r="210" spans="1:8" x14ac:dyDescent="0.3">
      <c r="A210" s="3" t="s">
        <v>183</v>
      </c>
      <c r="B210" s="3">
        <v>2023</v>
      </c>
      <c r="C210" s="5">
        <f t="shared" si="2"/>
        <v>36810.196047524732</v>
      </c>
      <c r="D210" s="5">
        <f t="shared" si="2"/>
        <v>1084.8853596722186</v>
      </c>
      <c r="E210" s="3"/>
      <c r="F210" s="3"/>
      <c r="G210" s="5">
        <v>2476581.8855772</v>
      </c>
      <c r="H210" s="7">
        <v>72990.848139554902</v>
      </c>
    </row>
    <row r="211" spans="1:8" x14ac:dyDescent="0.3">
      <c r="A211" s="3" t="s">
        <v>184</v>
      </c>
      <c r="B211" s="3">
        <v>2023</v>
      </c>
      <c r="C211" s="5">
        <f t="shared" si="2"/>
        <v>43.174355182135656</v>
      </c>
      <c r="D211" s="5">
        <f t="shared" si="2"/>
        <v>42363.68513782278</v>
      </c>
      <c r="E211" s="3"/>
      <c r="F211" s="3"/>
      <c r="G211" s="5">
        <v>2904.7611109570098</v>
      </c>
      <c r="H211" s="7">
        <v>2850219.4088608501</v>
      </c>
    </row>
    <row r="212" spans="1:8" x14ac:dyDescent="0.3">
      <c r="A212" s="3" t="s">
        <v>185</v>
      </c>
      <c r="B212" s="3">
        <v>2023</v>
      </c>
      <c r="C212" s="5">
        <f t="shared" si="2"/>
        <v>97.105687630494558</v>
      </c>
      <c r="D212" s="5">
        <f t="shared" si="2"/>
        <v>3108.9955040157029</v>
      </c>
      <c r="E212" s="3"/>
      <c r="F212" s="3"/>
      <c r="G212" s="5">
        <v>6533.2492840220102</v>
      </c>
      <c r="H212" s="7">
        <v>209172.53300268701</v>
      </c>
    </row>
    <row r="213" spans="1:8" x14ac:dyDescent="0.3">
      <c r="A213" s="3" t="s">
        <v>186</v>
      </c>
      <c r="B213" s="3">
        <v>2023</v>
      </c>
      <c r="C213" s="5">
        <f t="shared" si="2"/>
        <v>9412.6525531844418</v>
      </c>
      <c r="D213" s="5">
        <f t="shared" si="2"/>
        <v>148870.61566694151</v>
      </c>
      <c r="E213" s="3"/>
      <c r="F213" s="3"/>
      <c r="G213" s="5">
        <v>633281.19139468996</v>
      </c>
      <c r="H213" s="7">
        <v>10015982.2452308</v>
      </c>
    </row>
    <row r="214" spans="1:8" x14ac:dyDescent="0.3">
      <c r="A214" s="3" t="s">
        <v>187</v>
      </c>
      <c r="B214" s="3">
        <v>2023</v>
      </c>
      <c r="C214" s="5">
        <f>0.11*C3/10000</f>
        <v>1287.825</v>
      </c>
      <c r="D214" s="5">
        <f t="shared" si="2"/>
        <v>178758.87783985169</v>
      </c>
      <c r="E214" s="3" t="s">
        <v>233</v>
      </c>
      <c r="F214" s="3"/>
      <c r="G214" s="5">
        <v>1991650.43611785</v>
      </c>
      <c r="H214" s="7">
        <v>12026857.943725999</v>
      </c>
    </row>
    <row r="215" spans="1:8" x14ac:dyDescent="0.3">
      <c r="A215" s="3" t="s">
        <v>188</v>
      </c>
      <c r="B215" s="3">
        <v>2023</v>
      </c>
      <c r="C215" s="5">
        <f t="shared" si="2"/>
        <v>0</v>
      </c>
      <c r="D215" s="5">
        <f t="shared" si="2"/>
        <v>6044.8066401271471</v>
      </c>
      <c r="E215" s="3"/>
      <c r="F215" s="3"/>
      <c r="G215" s="5">
        <v>0</v>
      </c>
      <c r="H215" s="7">
        <v>406693.25986277498</v>
      </c>
    </row>
    <row r="216" spans="1:8" x14ac:dyDescent="0.3">
      <c r="A216" s="3" t="s">
        <v>189</v>
      </c>
      <c r="B216" s="3">
        <v>2023</v>
      </c>
      <c r="C216" s="5">
        <f t="shared" si="2"/>
        <v>0</v>
      </c>
      <c r="D216" s="5">
        <f t="shared" si="2"/>
        <v>1221.3029556170993</v>
      </c>
      <c r="E216" s="3"/>
      <c r="F216" s="3"/>
      <c r="G216" s="5">
        <v>0</v>
      </c>
      <c r="H216" s="7">
        <v>82168.993959666594</v>
      </c>
    </row>
    <row r="217" spans="1:8" x14ac:dyDescent="0.3">
      <c r="A217" s="3" t="s">
        <v>190</v>
      </c>
      <c r="B217" s="3">
        <v>2023</v>
      </c>
      <c r="C217" s="5">
        <f t="shared" si="2"/>
        <v>7368.5581609590108</v>
      </c>
      <c r="D217" s="5">
        <f t="shared" si="2"/>
        <v>1527.5577363902041</v>
      </c>
      <c r="E217" s="3" t="s">
        <v>239</v>
      </c>
      <c r="F217" s="3"/>
      <c r="G217" s="5">
        <v>495754.970733992</v>
      </c>
      <c r="H217" s="7">
        <v>102773.74818197099</v>
      </c>
    </row>
    <row r="218" spans="1:8" x14ac:dyDescent="0.3">
      <c r="A218" s="3" t="s">
        <v>191</v>
      </c>
      <c r="B218" s="3">
        <v>2023</v>
      </c>
      <c r="C218" s="5">
        <f t="shared" si="2"/>
        <v>2175.1687118073401</v>
      </c>
      <c r="D218" s="5">
        <f t="shared" si="2"/>
        <v>3722.2838351865539</v>
      </c>
      <c r="E218" s="3" t="s">
        <v>239</v>
      </c>
      <c r="F218" s="3"/>
      <c r="G218" s="5">
        <v>146344.87202353799</v>
      </c>
      <c r="H218" s="7">
        <v>250434.43689618001</v>
      </c>
    </row>
    <row r="219" spans="1:8" x14ac:dyDescent="0.3">
      <c r="A219" s="3" t="s">
        <v>192</v>
      </c>
      <c r="B219" s="3">
        <v>2023</v>
      </c>
      <c r="C219" s="5">
        <f t="shared" si="2"/>
        <v>0</v>
      </c>
      <c r="D219" s="5">
        <f t="shared" si="2"/>
        <v>1294.5299218516811</v>
      </c>
      <c r="E219" s="3"/>
      <c r="F219" s="3"/>
      <c r="G219" s="5">
        <v>0</v>
      </c>
      <c r="H219" s="7">
        <v>87095.688125549306</v>
      </c>
    </row>
    <row r="220" spans="1:8" x14ac:dyDescent="0.3">
      <c r="A220" s="3" t="s">
        <v>193</v>
      </c>
      <c r="B220" s="3">
        <v>2023</v>
      </c>
      <c r="C220" s="5">
        <f>0.03*C3/10000</f>
        <v>351.22500000000002</v>
      </c>
      <c r="D220" s="5">
        <f t="shared" ref="C220:D239" si="3">H220*$C$6</f>
        <v>12023.91499206241</v>
      </c>
      <c r="E220" s="3" t="s">
        <v>226</v>
      </c>
      <c r="F220" s="3"/>
      <c r="G220" s="5">
        <v>1142339.83161736</v>
      </c>
      <c r="H220" s="7">
        <v>808966.35336079099</v>
      </c>
    </row>
    <row r="221" spans="1:8" x14ac:dyDescent="0.3">
      <c r="A221" s="3" t="s">
        <v>194</v>
      </c>
      <c r="B221" s="3">
        <v>2023</v>
      </c>
      <c r="C221" s="5">
        <f t="shared" si="3"/>
        <v>0</v>
      </c>
      <c r="D221" s="5">
        <f t="shared" si="3"/>
        <v>6161.1392369100386</v>
      </c>
      <c r="E221" s="3"/>
      <c r="F221" s="3"/>
      <c r="G221" s="5">
        <v>0</v>
      </c>
      <c r="H221" s="7">
        <v>414520.09136138199</v>
      </c>
    </row>
    <row r="222" spans="1:8" x14ac:dyDescent="0.3">
      <c r="A222" s="3" t="s">
        <v>195</v>
      </c>
      <c r="B222" s="3">
        <v>2023</v>
      </c>
      <c r="C222" s="5">
        <f t="shared" si="3"/>
        <v>23252.999288115701</v>
      </c>
      <c r="D222" s="5">
        <f t="shared" si="3"/>
        <v>484.79444386707502</v>
      </c>
      <c r="E222" s="3" t="s">
        <v>248</v>
      </c>
      <c r="F222" s="3"/>
      <c r="G222" s="5">
        <v>1564456.67249195</v>
      </c>
      <c r="H222" s="7">
        <v>32616.863446192001</v>
      </c>
    </row>
    <row r="223" spans="1:8" x14ac:dyDescent="0.3">
      <c r="A223" s="3" t="s">
        <v>196</v>
      </c>
      <c r="B223" s="3">
        <v>2023</v>
      </c>
      <c r="C223" s="5">
        <f t="shared" si="3"/>
        <v>1996.3361013284321</v>
      </c>
      <c r="D223" s="5">
        <f t="shared" si="3"/>
        <v>6576.8108792121448</v>
      </c>
      <c r="E223" s="3" t="s">
        <v>239</v>
      </c>
      <c r="F223" s="3"/>
      <c r="G223" s="5">
        <v>134313.05336409001</v>
      </c>
      <c r="H223" s="7">
        <v>442486.38793704897</v>
      </c>
    </row>
    <row r="224" spans="1:8" x14ac:dyDescent="0.3">
      <c r="A224" s="3" t="s">
        <v>197</v>
      </c>
      <c r="B224" s="3">
        <v>2023</v>
      </c>
      <c r="C224" s="5">
        <f t="shared" si="3"/>
        <v>1792.701462448139</v>
      </c>
      <c r="D224" s="5">
        <f t="shared" si="3"/>
        <v>157132.04203643187</v>
      </c>
      <c r="E224" s="3" t="s">
        <v>239</v>
      </c>
      <c r="F224" s="3"/>
      <c r="G224" s="5">
        <v>120612.55969445901</v>
      </c>
      <c r="H224" s="7">
        <v>10571809.192452</v>
      </c>
    </row>
    <row r="225" spans="1:8" x14ac:dyDescent="0.3">
      <c r="A225" s="3" t="s">
        <v>198</v>
      </c>
      <c r="B225" s="3">
        <v>2023</v>
      </c>
      <c r="C225" s="5">
        <f t="shared" si="3"/>
        <v>1659.5613125546395</v>
      </c>
      <c r="D225" s="5">
        <f t="shared" si="3"/>
        <v>19081.665450454835</v>
      </c>
      <c r="E225" s="3" t="s">
        <v>239</v>
      </c>
      <c r="F225" s="3"/>
      <c r="G225" s="5">
        <v>111654.919723089</v>
      </c>
      <c r="H225" s="7">
        <v>1283810.25029663</v>
      </c>
    </row>
    <row r="226" spans="1:8" x14ac:dyDescent="0.3">
      <c r="A226" s="3" t="s">
        <v>199</v>
      </c>
      <c r="B226" s="3">
        <v>2023</v>
      </c>
      <c r="C226" s="5">
        <f t="shared" si="3"/>
        <v>0</v>
      </c>
      <c r="D226" s="5">
        <f t="shared" si="3"/>
        <v>118998.86029589525</v>
      </c>
      <c r="E226" s="3"/>
      <c r="F226" s="3"/>
      <c r="G226" s="5">
        <v>0</v>
      </c>
      <c r="H226" s="7">
        <v>8006217.1207307</v>
      </c>
    </row>
    <row r="227" spans="1:8" x14ac:dyDescent="0.3">
      <c r="A227" s="3" t="s">
        <v>200</v>
      </c>
      <c r="B227" s="3">
        <v>2023</v>
      </c>
      <c r="C227" s="5">
        <f t="shared" si="3"/>
        <v>3360.0864040629735</v>
      </c>
      <c r="D227" s="5">
        <f t="shared" si="3"/>
        <v>1236.4485910398803</v>
      </c>
      <c r="E227" s="3" t="s">
        <v>239</v>
      </c>
      <c r="F227" s="3"/>
      <c r="G227" s="5">
        <v>226065.87347518801</v>
      </c>
      <c r="H227" s="7">
        <v>83187.988976296998</v>
      </c>
    </row>
    <row r="228" spans="1:8" x14ac:dyDescent="0.3">
      <c r="A228" s="3" t="s">
        <v>201</v>
      </c>
      <c r="B228" s="3">
        <v>2023</v>
      </c>
      <c r="C228" s="5">
        <f t="shared" si="3"/>
        <v>2348.3835073038281</v>
      </c>
      <c r="D228" s="5">
        <f t="shared" si="3"/>
        <v>3622.9233649063794</v>
      </c>
      <c r="E228" s="3" t="s">
        <v>239</v>
      </c>
      <c r="F228" s="3"/>
      <c r="G228" s="5">
        <v>157998.72532784301</v>
      </c>
      <c r="H228" s="7">
        <v>243749.48633192299</v>
      </c>
    </row>
    <row r="229" spans="1:8" x14ac:dyDescent="0.3">
      <c r="A229" s="3" t="s">
        <v>202</v>
      </c>
      <c r="B229" s="3">
        <v>2023</v>
      </c>
      <c r="C229" s="5">
        <f t="shared" si="3"/>
        <v>3854.0624980753928</v>
      </c>
      <c r="D229" s="5">
        <f t="shared" si="3"/>
        <v>114328.70707868467</v>
      </c>
      <c r="E229" s="3" t="s">
        <v>239</v>
      </c>
      <c r="F229" s="3"/>
      <c r="G229" s="5">
        <v>259300.47632163501</v>
      </c>
      <c r="H229" s="7">
        <v>7692010.24050433</v>
      </c>
    </row>
    <row r="230" spans="1:8" x14ac:dyDescent="0.3">
      <c r="A230" s="3" t="s">
        <v>203</v>
      </c>
      <c r="B230" s="3">
        <v>2023</v>
      </c>
      <c r="C230" s="5">
        <f t="shared" si="3"/>
        <v>58.932342221046028</v>
      </c>
      <c r="D230" s="5">
        <f t="shared" si="3"/>
        <v>24781.905049873974</v>
      </c>
      <c r="E230" s="3" t="s">
        <v>239</v>
      </c>
      <c r="F230" s="3"/>
      <c r="G230" s="5">
        <v>3964.95500949915</v>
      </c>
      <c r="H230" s="7">
        <v>1667321.1155238899</v>
      </c>
    </row>
    <row r="231" spans="1:8" x14ac:dyDescent="0.3">
      <c r="A231" s="3" t="s">
        <v>204</v>
      </c>
      <c r="B231" s="3">
        <v>2023</v>
      </c>
      <c r="C231" s="5">
        <f t="shared" si="3"/>
        <v>0</v>
      </c>
      <c r="D231" s="5">
        <f t="shared" si="3"/>
        <v>10975.236361736755</v>
      </c>
      <c r="E231" s="3"/>
      <c r="F231" s="3"/>
      <c r="G231" s="5">
        <v>0</v>
      </c>
      <c r="H231" s="7">
        <v>738411.48600003798</v>
      </c>
    </row>
    <row r="232" spans="1:8" x14ac:dyDescent="0.3">
      <c r="A232" s="3" t="s">
        <v>205</v>
      </c>
      <c r="B232" s="3">
        <v>2023</v>
      </c>
      <c r="C232" s="5">
        <f t="shared" si="3"/>
        <v>52.045351312308867</v>
      </c>
      <c r="D232" s="5">
        <f t="shared" si="3"/>
        <v>439.91422755755525</v>
      </c>
      <c r="E232" s="3" t="s">
        <v>239</v>
      </c>
      <c r="F232" s="3"/>
      <c r="G232" s="5">
        <v>3501.59977746799</v>
      </c>
      <c r="H232" s="7">
        <v>29597.332374164002</v>
      </c>
    </row>
    <row r="233" spans="1:8" x14ac:dyDescent="0.3">
      <c r="A233" s="3" t="s">
        <v>206</v>
      </c>
      <c r="B233" s="3">
        <v>2023</v>
      </c>
      <c r="C233" s="5">
        <f t="shared" si="3"/>
        <v>1.5902411445179681</v>
      </c>
      <c r="D233" s="5">
        <f t="shared" si="3"/>
        <v>527.53655241448655</v>
      </c>
      <c r="E233" s="3" t="s">
        <v>239</v>
      </c>
      <c r="F233" s="3"/>
      <c r="G233" s="5">
        <v>106.991074079802</v>
      </c>
      <c r="H233" s="7">
        <v>35492.543098732502</v>
      </c>
    </row>
    <row r="234" spans="1:8" x14ac:dyDescent="0.3">
      <c r="A234" s="3" t="s">
        <v>207</v>
      </c>
      <c r="B234" s="3">
        <v>2023</v>
      </c>
      <c r="C234" s="5">
        <f t="shared" si="3"/>
        <v>338.22464172920866</v>
      </c>
      <c r="D234" s="5">
        <f t="shared" si="3"/>
        <v>4810.6059091879852</v>
      </c>
      <c r="E234" s="3" t="s">
        <v>239</v>
      </c>
      <c r="F234" s="3"/>
      <c r="G234" s="5">
        <v>22755.6794286273</v>
      </c>
      <c r="H234" s="7">
        <v>323656.506419143</v>
      </c>
    </row>
    <row r="235" spans="1:8" x14ac:dyDescent="0.3">
      <c r="A235" s="3" t="s">
        <v>208</v>
      </c>
      <c r="B235" s="3">
        <v>2023</v>
      </c>
      <c r="C235" s="5">
        <f t="shared" si="3"/>
        <v>0</v>
      </c>
      <c r="D235" s="5">
        <f t="shared" si="3"/>
        <v>918.96409459555196</v>
      </c>
      <c r="E235" s="3"/>
      <c r="F235" s="3"/>
      <c r="G235" s="5">
        <v>0</v>
      </c>
      <c r="H235" s="7">
        <v>61827.701956079</v>
      </c>
    </row>
    <row r="236" spans="1:8" x14ac:dyDescent="0.3">
      <c r="A236" s="3" t="s">
        <v>209</v>
      </c>
      <c r="B236" s="3">
        <v>2023</v>
      </c>
      <c r="C236" s="5">
        <f t="shared" si="3"/>
        <v>14.716471743139312</v>
      </c>
      <c r="D236" s="5">
        <f t="shared" si="3"/>
        <v>56533.004801003655</v>
      </c>
      <c r="E236" s="3" t="s">
        <v>239</v>
      </c>
      <c r="F236" s="3"/>
      <c r="G236" s="5">
        <v>990.12097875306904</v>
      </c>
      <c r="H236" s="7">
        <v>3803528.11614078</v>
      </c>
    </row>
    <row r="237" spans="1:8" x14ac:dyDescent="0.3">
      <c r="A237" s="3" t="s">
        <v>210</v>
      </c>
      <c r="B237" s="3">
        <v>2023</v>
      </c>
      <c r="C237" s="5">
        <f t="shared" si="3"/>
        <v>1111.3803364959911</v>
      </c>
      <c r="D237" s="5">
        <f t="shared" si="3"/>
        <v>45401.372498426768</v>
      </c>
      <c r="E237" s="3" t="s">
        <v>239</v>
      </c>
      <c r="F237" s="3"/>
      <c r="G237" s="5">
        <v>74773.424346859698</v>
      </c>
      <c r="H237" s="7">
        <v>3054594.3456747099</v>
      </c>
    </row>
    <row r="238" spans="1:8" x14ac:dyDescent="0.3">
      <c r="A238" s="3" t="s">
        <v>211</v>
      </c>
      <c r="B238" s="3">
        <v>2023</v>
      </c>
      <c r="C238" s="5">
        <f t="shared" si="3"/>
        <v>20.561356708294166</v>
      </c>
      <c r="D238" s="5">
        <f t="shared" si="3"/>
        <v>227.23125553064401</v>
      </c>
      <c r="E238" s="3" t="s">
        <v>239</v>
      </c>
      <c r="F238" s="3"/>
      <c r="G238" s="5">
        <v>1383.36355234046</v>
      </c>
      <c r="H238" s="7">
        <v>15288.0688425999</v>
      </c>
    </row>
    <row r="239" spans="1:8" x14ac:dyDescent="0.3">
      <c r="A239" s="3" t="s">
        <v>212</v>
      </c>
      <c r="B239" s="3">
        <v>2023</v>
      </c>
      <c r="C239" s="5">
        <f t="shared" si="3"/>
        <v>36.749446115907595</v>
      </c>
      <c r="D239" s="5">
        <f t="shared" si="3"/>
        <v>1207.4850649581017</v>
      </c>
      <c r="E239" s="3" t="s">
        <v>239</v>
      </c>
      <c r="F239" s="3"/>
      <c r="G239" s="5">
        <v>2472.4946435533102</v>
      </c>
      <c r="H239" s="7">
        <v>81239.329318414006</v>
      </c>
    </row>
  </sheetData>
  <autoFilter ref="A1:H239" xr:uid="{00000000-0001-0000-0000-000000000000}"/>
  <phoneticPr fontId="1" type="noConversion"/>
  <conditionalFormatting sqref="H94:H112">
    <cfRule type="cellIs" dxfId="2" priority="1" operator="lessThan">
      <formula>0</formula>
    </cfRule>
  </conditionalFormatting>
  <hyperlinks>
    <hyperlink ref="D16" r:id="rId1" display="http://stats.customs.gov.cn/" xr:uid="{D8397F2F-FF9D-425F-BD06-2BB3EB151207}"/>
    <hyperlink ref="D17:D19" r:id="rId2" display="http://stats.customs.gov.cn/" xr:uid="{00BCA1B0-1970-4048-8288-B3A864D1AC4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A68D-17D2-478E-A283-AFE6FA6DA9C1}">
  <dimension ref="A1:H239"/>
  <sheetViews>
    <sheetView zoomScale="85" zoomScaleNormal="85" workbookViewId="0">
      <pane xSplit="1" topLeftCell="E1" activePane="topRight" state="frozen"/>
      <selection activeCell="A10" sqref="A10"/>
      <selection pane="topRight" activeCell="E18" sqref="E18"/>
    </sheetView>
  </sheetViews>
  <sheetFormatPr defaultColWidth="12.58203125" defaultRowHeight="14" x14ac:dyDescent="0.3"/>
  <cols>
    <col min="1" max="1" width="47.08203125" customWidth="1"/>
    <col min="3" max="3" width="34.83203125" style="4" customWidth="1"/>
    <col min="4" max="4" width="12.58203125" style="4"/>
    <col min="5" max="6" width="121.75" style="4" customWidth="1"/>
  </cols>
  <sheetData>
    <row r="1" spans="1:6" s="1" customFormat="1" x14ac:dyDescent="0.3">
      <c r="A1" s="2" t="s">
        <v>0</v>
      </c>
      <c r="B1" s="2" t="s">
        <v>3</v>
      </c>
      <c r="C1" s="2" t="s">
        <v>1</v>
      </c>
      <c r="D1" s="2" t="s">
        <v>2</v>
      </c>
      <c r="E1" s="2" t="s">
        <v>220</v>
      </c>
      <c r="F1" s="2" t="s">
        <v>221</v>
      </c>
    </row>
    <row r="2" spans="1:6" x14ac:dyDescent="0.3">
      <c r="A2" s="3" t="s">
        <v>260</v>
      </c>
      <c r="B2" s="3">
        <v>2017</v>
      </c>
      <c r="C2" s="6">
        <v>713.66</v>
      </c>
      <c r="D2" s="3" t="s">
        <v>213</v>
      </c>
      <c r="E2" s="3"/>
      <c r="F2" s="3"/>
    </row>
    <row r="3" spans="1:6" ht="56" x14ac:dyDescent="0.3">
      <c r="A3" s="3" t="s">
        <v>257</v>
      </c>
      <c r="B3" s="3">
        <v>2017</v>
      </c>
      <c r="C3" s="6">
        <v>99795000</v>
      </c>
      <c r="D3" s="3" t="s">
        <v>256</v>
      </c>
      <c r="E3" s="3" t="s">
        <v>316</v>
      </c>
      <c r="F3" s="3"/>
    </row>
    <row r="4" spans="1:6" x14ac:dyDescent="0.3">
      <c r="A4" s="3" t="s">
        <v>261</v>
      </c>
      <c r="B4" s="3">
        <v>2017</v>
      </c>
      <c r="C4" s="6">
        <f>C2*C3</f>
        <v>71219699700</v>
      </c>
      <c r="D4" s="3" t="s">
        <v>4</v>
      </c>
      <c r="E4" s="3" t="s">
        <v>5</v>
      </c>
      <c r="F4" s="3"/>
    </row>
    <row r="5" spans="1:6" ht="28" x14ac:dyDescent="0.3">
      <c r="A5" s="3" t="s">
        <v>265</v>
      </c>
      <c r="B5" s="3">
        <v>2017</v>
      </c>
      <c r="C5" s="8">
        <v>5866182253506.21</v>
      </c>
      <c r="D5" s="3" t="s">
        <v>267</v>
      </c>
      <c r="E5" s="3" t="s">
        <v>320</v>
      </c>
      <c r="F5" s="3"/>
    </row>
    <row r="6" spans="1:6" x14ac:dyDescent="0.3">
      <c r="A6" s="3" t="s">
        <v>270</v>
      </c>
      <c r="B6" s="3">
        <v>2017</v>
      </c>
      <c r="C6" s="9">
        <f>C4/C5</f>
        <v>1.2140724004514533E-2</v>
      </c>
      <c r="D6" s="3" t="s">
        <v>4</v>
      </c>
      <c r="E6" s="3"/>
      <c r="F6" s="3"/>
    </row>
    <row r="7" spans="1:6" ht="28" x14ac:dyDescent="0.3">
      <c r="A7" s="3" t="s">
        <v>266</v>
      </c>
      <c r="B7" s="3">
        <v>2017</v>
      </c>
      <c r="C7" s="6">
        <v>1001236384490.99</v>
      </c>
      <c r="D7" s="3" t="s">
        <v>267</v>
      </c>
      <c r="E7" s="3"/>
      <c r="F7" s="3"/>
    </row>
    <row r="8" spans="1:6" ht="28" x14ac:dyDescent="0.3">
      <c r="A8" s="3" t="s">
        <v>323</v>
      </c>
      <c r="B8" s="3">
        <v>2017</v>
      </c>
      <c r="C8" s="6">
        <v>34390500000</v>
      </c>
      <c r="D8" s="3" t="s">
        <v>322</v>
      </c>
      <c r="E8" s="3" t="s">
        <v>324</v>
      </c>
      <c r="F8" s="3"/>
    </row>
    <row r="9" spans="1:6" x14ac:dyDescent="0.3">
      <c r="A9" s="3" t="s">
        <v>271</v>
      </c>
      <c r="B9" s="3">
        <v>2017</v>
      </c>
      <c r="C9" s="9">
        <f>C8/C7</f>
        <v>3.4348032625166225E-2</v>
      </c>
      <c r="D9" s="3" t="s">
        <v>4</v>
      </c>
      <c r="E9" s="3"/>
      <c r="F9" s="3"/>
    </row>
    <row r="10" spans="1:6" ht="56" x14ac:dyDescent="0.3">
      <c r="A10" s="3" t="s">
        <v>282</v>
      </c>
      <c r="B10" s="3">
        <v>2017</v>
      </c>
      <c r="C10" s="9" t="s">
        <v>319</v>
      </c>
      <c r="D10" s="3" t="s">
        <v>318</v>
      </c>
      <c r="E10" s="3" t="s">
        <v>293</v>
      </c>
      <c r="F10" s="3"/>
    </row>
    <row r="11" spans="1:6" x14ac:dyDescent="0.3">
      <c r="A11" s="3" t="s">
        <v>287</v>
      </c>
      <c r="B11" s="3">
        <v>2017</v>
      </c>
      <c r="C11" s="9">
        <f>560.5077*C3/10000</f>
        <v>5593586.5921499999</v>
      </c>
      <c r="D11" s="3" t="s">
        <v>213</v>
      </c>
      <c r="E11" s="3" t="s">
        <v>283</v>
      </c>
      <c r="F11" s="3"/>
    </row>
    <row r="12" spans="1:6" ht="28" x14ac:dyDescent="0.3">
      <c r="A12" s="3" t="s">
        <v>290</v>
      </c>
      <c r="B12" s="3">
        <v>2017</v>
      </c>
      <c r="C12" s="9" t="s">
        <v>430</v>
      </c>
      <c r="D12" s="3" t="s">
        <v>289</v>
      </c>
      <c r="E12" s="3" t="s">
        <v>285</v>
      </c>
      <c r="F12" s="3"/>
    </row>
    <row r="13" spans="1:6" x14ac:dyDescent="0.3">
      <c r="A13" s="3" t="s">
        <v>286</v>
      </c>
      <c r="B13" s="3">
        <v>2017</v>
      </c>
      <c r="C13" s="9">
        <f>5.79*C3/10000</f>
        <v>57781.305</v>
      </c>
      <c r="D13" s="3" t="s">
        <v>213</v>
      </c>
      <c r="E13" s="3" t="s">
        <v>284</v>
      </c>
      <c r="F13" s="3"/>
    </row>
    <row r="14" spans="1:6" ht="28" x14ac:dyDescent="0.3">
      <c r="A14" s="3" t="s">
        <v>288</v>
      </c>
      <c r="B14" s="3">
        <v>2017</v>
      </c>
      <c r="C14" s="9" t="s">
        <v>430</v>
      </c>
      <c r="D14" s="3" t="s">
        <v>289</v>
      </c>
      <c r="E14" s="3" t="s">
        <v>300</v>
      </c>
      <c r="F14" s="3"/>
    </row>
    <row r="15" spans="1:6" x14ac:dyDescent="0.3">
      <c r="A15" s="3" t="s">
        <v>291</v>
      </c>
      <c r="B15" s="3">
        <v>2017</v>
      </c>
      <c r="C15" s="9" t="s">
        <v>430</v>
      </c>
      <c r="D15" s="3" t="s">
        <v>292</v>
      </c>
      <c r="E15" s="3" t="s">
        <v>301</v>
      </c>
      <c r="F15" s="3"/>
    </row>
    <row r="16" spans="1:6" x14ac:dyDescent="0.3">
      <c r="A16" s="3" t="s">
        <v>295</v>
      </c>
      <c r="B16" s="3">
        <v>2017</v>
      </c>
      <c r="C16" s="11">
        <v>1469226.4327</v>
      </c>
      <c r="D16" s="10" t="s">
        <v>294</v>
      </c>
      <c r="E16" s="3" t="s">
        <v>297</v>
      </c>
      <c r="F16" s="3"/>
    </row>
    <row r="17" spans="1:8" x14ac:dyDescent="0.3">
      <c r="A17" s="3" t="s">
        <v>296</v>
      </c>
      <c r="B17" s="3">
        <v>2017</v>
      </c>
      <c r="C17" s="9">
        <v>156.23050000000001</v>
      </c>
      <c r="D17" s="10" t="s">
        <v>294</v>
      </c>
      <c r="E17" s="3"/>
      <c r="F17" s="3"/>
    </row>
    <row r="18" spans="1:8" x14ac:dyDescent="0.3">
      <c r="A18" s="3" t="s">
        <v>308</v>
      </c>
      <c r="B18" s="3">
        <v>2017</v>
      </c>
      <c r="C18" s="9">
        <v>428393.57620000001</v>
      </c>
      <c r="D18" s="10" t="s">
        <v>294</v>
      </c>
      <c r="E18" s="3" t="s">
        <v>432</v>
      </c>
      <c r="F18" s="3"/>
    </row>
    <row r="19" spans="1:8" x14ac:dyDescent="0.3">
      <c r="A19" s="3" t="s">
        <v>309</v>
      </c>
      <c r="B19" s="3">
        <v>2017</v>
      </c>
      <c r="C19" s="9">
        <v>12630.465399999999</v>
      </c>
      <c r="D19" s="10" t="s">
        <v>294</v>
      </c>
      <c r="E19" s="3"/>
      <c r="F19" s="3"/>
    </row>
    <row r="20" spans="1:8" x14ac:dyDescent="0.3">
      <c r="A20" s="3" t="s">
        <v>298</v>
      </c>
      <c r="B20" s="3">
        <v>2017</v>
      </c>
      <c r="C20" s="9">
        <f>(80)*10000*6810/10000</f>
        <v>544800</v>
      </c>
      <c r="D20" t="s">
        <v>302</v>
      </c>
      <c r="E20" s="3"/>
      <c r="F20" s="3"/>
    </row>
    <row r="21" spans="1:8" x14ac:dyDescent="0.3">
      <c r="A21" s="3" t="s">
        <v>299</v>
      </c>
      <c r="B21" s="3">
        <v>2017</v>
      </c>
      <c r="C21" s="9">
        <f>(17)*10000*6810/10000</f>
        <v>115770</v>
      </c>
      <c r="D21" t="s">
        <v>302</v>
      </c>
      <c r="E21" s="3"/>
      <c r="F21" s="3"/>
    </row>
    <row r="22" spans="1:8" x14ac:dyDescent="0.3">
      <c r="A22" s="3" t="s">
        <v>312</v>
      </c>
      <c r="B22" s="3">
        <v>2017</v>
      </c>
      <c r="C22" s="9"/>
      <c r="D22" t="s">
        <v>313</v>
      </c>
      <c r="E22" s="3" t="s">
        <v>314</v>
      </c>
      <c r="F22" s="3"/>
    </row>
    <row r="23" spans="1:8" x14ac:dyDescent="0.3">
      <c r="A23" s="3" t="s">
        <v>307</v>
      </c>
      <c r="B23" s="3">
        <v>2017</v>
      </c>
      <c r="C23" s="9"/>
      <c r="D23" t="s">
        <v>302</v>
      </c>
      <c r="E23" s="4" t="s">
        <v>321</v>
      </c>
      <c r="F23" s="3"/>
    </row>
    <row r="24" spans="1:8" x14ac:dyDescent="0.3">
      <c r="A24" s="3" t="s">
        <v>306</v>
      </c>
      <c r="B24" s="3">
        <v>2017</v>
      </c>
      <c r="C24" s="9"/>
      <c r="D24" t="s">
        <v>304</v>
      </c>
      <c r="E24" s="4" t="s">
        <v>305</v>
      </c>
      <c r="F24" s="3"/>
    </row>
    <row r="25" spans="1:8" x14ac:dyDescent="0.3">
      <c r="A25" s="3" t="s">
        <v>311</v>
      </c>
      <c r="B25" s="3">
        <v>2017</v>
      </c>
      <c r="C25" s="9">
        <f>(102)*10000*6810/10000</f>
        <v>694620</v>
      </c>
      <c r="D25" t="s">
        <v>302</v>
      </c>
      <c r="E25" s="4" t="s">
        <v>310</v>
      </c>
      <c r="F25" s="3"/>
    </row>
    <row r="26" spans="1:8" s="1" customFormat="1" ht="56" x14ac:dyDescent="0.3">
      <c r="A26" s="2" t="s">
        <v>275</v>
      </c>
      <c r="B26" s="3">
        <v>2017</v>
      </c>
      <c r="C26" s="2" t="s">
        <v>262</v>
      </c>
      <c r="D26" s="2" t="s">
        <v>263</v>
      </c>
      <c r="E26" s="2"/>
      <c r="F26" s="2"/>
      <c r="G26" s="1" t="s">
        <v>273</v>
      </c>
      <c r="H26" s="1" t="s">
        <v>274</v>
      </c>
    </row>
    <row r="27" spans="1:8" x14ac:dyDescent="0.3">
      <c r="A27" s="12" t="s">
        <v>326</v>
      </c>
      <c r="B27" s="3">
        <v>2017</v>
      </c>
      <c r="C27" s="5">
        <v>0</v>
      </c>
      <c r="D27" s="5">
        <v>0</v>
      </c>
      <c r="E27" s="3"/>
      <c r="F27" s="3"/>
      <c r="G27" s="5">
        <v>0</v>
      </c>
      <c r="H27" s="7">
        <v>0</v>
      </c>
    </row>
    <row r="28" spans="1:8" x14ac:dyDescent="0.3">
      <c r="A28" s="12" t="s">
        <v>258</v>
      </c>
      <c r="B28" s="3">
        <v>2017</v>
      </c>
      <c r="C28" s="5">
        <v>724230.17003549973</v>
      </c>
      <c r="D28" s="5">
        <v>724230.17003549973</v>
      </c>
      <c r="E28" s="3"/>
      <c r="F28" s="3"/>
      <c r="G28" s="5"/>
      <c r="H28" s="7"/>
    </row>
    <row r="29" spans="1:8" x14ac:dyDescent="0.3">
      <c r="A29" s="12" t="s">
        <v>7</v>
      </c>
      <c r="B29" s="3">
        <v>2017</v>
      </c>
      <c r="C29" s="5">
        <v>1.6271778551858056</v>
      </c>
      <c r="D29" s="5">
        <v>0</v>
      </c>
      <c r="E29" s="3"/>
      <c r="F29" s="3"/>
      <c r="G29" s="5"/>
      <c r="H29" s="7"/>
    </row>
    <row r="30" spans="1:8" x14ac:dyDescent="0.3">
      <c r="A30" s="12" t="s">
        <v>327</v>
      </c>
      <c r="B30" s="3">
        <v>2017</v>
      </c>
      <c r="C30" s="5">
        <f>9.25*$C$3/10000</f>
        <v>92310.375</v>
      </c>
      <c r="D30" s="5">
        <v>310970.44470543734</v>
      </c>
      <c r="E30" s="3" t="s">
        <v>276</v>
      </c>
      <c r="F30" s="3"/>
      <c r="G30" s="5">
        <v>752736.73671785602</v>
      </c>
      <c r="H30" s="7">
        <v>0</v>
      </c>
    </row>
    <row r="31" spans="1:8" x14ac:dyDescent="0.3">
      <c r="A31" s="12" t="s">
        <v>328</v>
      </c>
      <c r="B31" s="3">
        <v>2017</v>
      </c>
      <c r="C31" s="5">
        <v>0</v>
      </c>
      <c r="D31" s="5">
        <v>10698.918437979195</v>
      </c>
      <c r="E31" s="3"/>
      <c r="F31" s="3"/>
      <c r="G31" s="5">
        <v>2.4490237284896699</v>
      </c>
      <c r="H31" s="7">
        <v>0</v>
      </c>
    </row>
    <row r="32" spans="1:8" x14ac:dyDescent="0.3">
      <c r="A32" s="12" t="s">
        <v>12</v>
      </c>
      <c r="B32" s="3">
        <v>2017</v>
      </c>
      <c r="C32" s="5">
        <f>(20.48+72.62+3.47-2.65)*$C$3/10000</f>
        <v>937274.64</v>
      </c>
      <c r="D32" s="5">
        <v>55503.169110313735</v>
      </c>
      <c r="E32" s="3" t="s">
        <v>228</v>
      </c>
      <c r="F32" s="3"/>
      <c r="G32" s="5">
        <v>26481.5805210867</v>
      </c>
      <c r="H32" s="7">
        <v>5747727.4413139904</v>
      </c>
    </row>
    <row r="33" spans="1:8" x14ac:dyDescent="0.3">
      <c r="A33" s="12" t="s">
        <v>13</v>
      </c>
      <c r="B33" s="3">
        <v>2017</v>
      </c>
      <c r="C33" s="5">
        <v>4101.2912169681986</v>
      </c>
      <c r="D33" s="5">
        <v>0</v>
      </c>
      <c r="E33" s="3"/>
      <c r="F33" s="3"/>
      <c r="G33" s="5">
        <v>0</v>
      </c>
      <c r="H33" s="7">
        <v>0</v>
      </c>
    </row>
    <row r="34" spans="1:8" x14ac:dyDescent="0.3">
      <c r="A34" s="12" t="s">
        <v>329</v>
      </c>
      <c r="B34" s="3">
        <v>2017</v>
      </c>
      <c r="C34" s="5">
        <v>0</v>
      </c>
      <c r="D34" s="5">
        <v>0</v>
      </c>
      <c r="E34" s="3"/>
      <c r="F34" s="3"/>
      <c r="G34" s="5">
        <v>0</v>
      </c>
      <c r="H34" s="7">
        <v>0</v>
      </c>
    </row>
    <row r="35" spans="1:8" x14ac:dyDescent="0.3">
      <c r="A35" s="12" t="s">
        <v>16</v>
      </c>
      <c r="B35" s="3">
        <v>2017</v>
      </c>
      <c r="C35" s="5">
        <v>0</v>
      </c>
      <c r="D35" s="5">
        <v>0</v>
      </c>
      <c r="F35" s="3"/>
      <c r="G35" s="5">
        <v>22953421.140926398</v>
      </c>
      <c r="H35" s="7">
        <v>7085901.7725880304</v>
      </c>
    </row>
    <row r="36" spans="1:8" x14ac:dyDescent="0.3">
      <c r="A36" s="12" t="s">
        <v>17</v>
      </c>
      <c r="B36" s="3">
        <v>2017</v>
      </c>
      <c r="C36" s="5">
        <v>0</v>
      </c>
      <c r="D36" s="5">
        <v>0</v>
      </c>
      <c r="E36" s="3"/>
      <c r="F36" s="3"/>
      <c r="G36" s="5">
        <v>34156.1580419905</v>
      </c>
      <c r="H36" s="7">
        <v>170172.12714913901</v>
      </c>
    </row>
    <row r="37" spans="1:8" x14ac:dyDescent="0.3">
      <c r="A37" s="12" t="s">
        <v>330</v>
      </c>
      <c r="B37" s="3">
        <v>2017</v>
      </c>
      <c r="C37" s="5">
        <v>6.3371823081153078</v>
      </c>
      <c r="D37" s="5">
        <v>5.6592289224355356E-3</v>
      </c>
      <c r="E37" s="3"/>
      <c r="F37" s="3"/>
      <c r="G37" s="5">
        <v>0</v>
      </c>
      <c r="H37" s="7">
        <v>57123.401940053503</v>
      </c>
    </row>
    <row r="38" spans="1:8" x14ac:dyDescent="0.3">
      <c r="A38" s="12" t="s">
        <v>20</v>
      </c>
      <c r="B38" s="3">
        <v>2017</v>
      </c>
      <c r="C38" s="5">
        <v>0</v>
      </c>
      <c r="D38" s="5">
        <v>0</v>
      </c>
      <c r="E38" s="3"/>
      <c r="F38" s="3"/>
      <c r="G38" s="5">
        <v>0</v>
      </c>
      <c r="H38" s="7">
        <v>50322.752872663397</v>
      </c>
    </row>
    <row r="39" spans="1:8" x14ac:dyDescent="0.3">
      <c r="A39" s="12" t="s">
        <v>331</v>
      </c>
      <c r="B39" s="3">
        <v>2017</v>
      </c>
      <c r="C39" s="5">
        <v>9711.3556178745857</v>
      </c>
      <c r="D39" s="5">
        <v>1122022.5143879408</v>
      </c>
      <c r="E39" s="3"/>
      <c r="F39" s="3"/>
      <c r="G39" s="5">
        <v>0</v>
      </c>
      <c r="H39" s="7">
        <v>67596.753146003495</v>
      </c>
    </row>
    <row r="40" spans="1:8" x14ac:dyDescent="0.3">
      <c r="A40" s="12" t="s">
        <v>332</v>
      </c>
      <c r="B40" s="3">
        <v>2017</v>
      </c>
      <c r="C40" s="5">
        <v>8439.2034570762389</v>
      </c>
      <c r="D40" s="5">
        <v>462390.8353437637</v>
      </c>
      <c r="E40" s="3"/>
      <c r="F40" s="3"/>
      <c r="G40" s="5">
        <v>0</v>
      </c>
      <c r="H40" s="7">
        <v>39191.753698220396</v>
      </c>
    </row>
    <row r="41" spans="1:8" x14ac:dyDescent="0.3">
      <c r="A41" s="12" t="s">
        <v>333</v>
      </c>
      <c r="B41" s="3">
        <v>2017</v>
      </c>
      <c r="C41" s="5">
        <v>0</v>
      </c>
      <c r="D41" s="5">
        <v>560703.29823971982</v>
      </c>
      <c r="E41" s="3"/>
      <c r="F41" s="3"/>
      <c r="G41" s="5">
        <v>11.9447869173163</v>
      </c>
      <c r="H41" s="7">
        <v>30678.689690508301</v>
      </c>
    </row>
    <row r="42" spans="1:8" x14ac:dyDescent="0.3">
      <c r="A42" s="12" t="s">
        <v>334</v>
      </c>
      <c r="B42" s="3">
        <v>2017</v>
      </c>
      <c r="C42" s="5">
        <v>136.52453582043066</v>
      </c>
      <c r="D42" s="5">
        <v>0</v>
      </c>
      <c r="E42" s="3"/>
      <c r="F42" s="3"/>
      <c r="G42" s="5">
        <v>85684.024044845501</v>
      </c>
      <c r="H42" s="7">
        <v>16609.158797202901</v>
      </c>
    </row>
    <row r="43" spans="1:8" x14ac:dyDescent="0.3">
      <c r="A43" s="12" t="s">
        <v>335</v>
      </c>
      <c r="B43" s="3">
        <v>2017</v>
      </c>
      <c r="C43" s="5">
        <v>0</v>
      </c>
      <c r="D43" s="5">
        <v>97108.589110933433</v>
      </c>
      <c r="E43" s="3"/>
      <c r="F43" s="3"/>
      <c r="G43" s="5">
        <v>0</v>
      </c>
      <c r="H43" s="7">
        <v>19714.262357955002</v>
      </c>
    </row>
    <row r="44" spans="1:8" x14ac:dyDescent="0.3">
      <c r="A44" s="12" t="s">
        <v>336</v>
      </c>
      <c r="B44" s="3">
        <v>2017</v>
      </c>
      <c r="C44" s="5">
        <v>0</v>
      </c>
      <c r="D44" s="5">
        <v>27129.998447636357</v>
      </c>
      <c r="E44" s="3"/>
      <c r="F44" s="3"/>
      <c r="G44" s="5">
        <v>927709.51469208603</v>
      </c>
      <c r="H44" s="7">
        <v>670038.92817977502</v>
      </c>
    </row>
    <row r="45" spans="1:8" x14ac:dyDescent="0.3">
      <c r="A45" s="12" t="s">
        <v>337</v>
      </c>
      <c r="B45" s="3">
        <v>2017</v>
      </c>
      <c r="C45" s="5">
        <v>0</v>
      </c>
      <c r="D45" s="5">
        <v>2595.3988237553203</v>
      </c>
      <c r="E45" s="3"/>
      <c r="F45" s="3"/>
      <c r="G45" s="5">
        <v>530430.81039191503</v>
      </c>
      <c r="H45" s="7">
        <v>48650060.379825197</v>
      </c>
    </row>
    <row r="46" spans="1:8" x14ac:dyDescent="0.3">
      <c r="A46" s="12" t="s">
        <v>338</v>
      </c>
      <c r="B46" s="3">
        <v>2017</v>
      </c>
      <c r="C46" s="5">
        <v>0</v>
      </c>
      <c r="D46" s="5">
        <v>567136.47206367704</v>
      </c>
      <c r="E46" s="3"/>
      <c r="F46" s="3"/>
      <c r="G46" s="5">
        <v>2595.2530264668198</v>
      </c>
      <c r="H46" s="7">
        <v>38249047.336092003</v>
      </c>
    </row>
    <row r="47" spans="1:8" x14ac:dyDescent="0.3">
      <c r="A47" s="12" t="s">
        <v>28</v>
      </c>
      <c r="B47" s="3">
        <v>2017</v>
      </c>
      <c r="C47" s="5">
        <v>0</v>
      </c>
      <c r="D47" s="5">
        <v>24865.57586840861</v>
      </c>
      <c r="E47" s="3"/>
      <c r="F47" s="3"/>
      <c r="G47" s="5"/>
      <c r="H47" s="7">
        <f>H46*$X$3</f>
        <v>0</v>
      </c>
    </row>
    <row r="48" spans="1:8" x14ac:dyDescent="0.3">
      <c r="A48" s="12" t="s">
        <v>29</v>
      </c>
      <c r="B48" s="3">
        <v>2017</v>
      </c>
      <c r="C48" s="5">
        <v>0</v>
      </c>
      <c r="D48" s="5">
        <v>243.41854866579732</v>
      </c>
      <c r="E48" s="3"/>
      <c r="F48" s="3"/>
      <c r="G48" s="5">
        <v>0</v>
      </c>
      <c r="H48" s="7">
        <v>3903607.23490238</v>
      </c>
    </row>
    <row r="49" spans="1:8" x14ac:dyDescent="0.3">
      <c r="A49" s="12" t="s">
        <v>30</v>
      </c>
      <c r="B49" s="3">
        <v>2017</v>
      </c>
      <c r="C49" s="5">
        <v>0</v>
      </c>
      <c r="D49" s="5">
        <v>89970.10998920213</v>
      </c>
      <c r="E49" s="3"/>
      <c r="F49" s="3"/>
      <c r="G49" s="5">
        <v>0</v>
      </c>
      <c r="H49" s="7">
        <v>852039.23552715499</v>
      </c>
    </row>
    <row r="50" spans="1:8" x14ac:dyDescent="0.3">
      <c r="A50" s="12" t="s">
        <v>31</v>
      </c>
      <c r="B50" s="3">
        <v>2017</v>
      </c>
      <c r="C50" s="5">
        <v>0</v>
      </c>
      <c r="D50" s="5">
        <v>223018.23048408504</v>
      </c>
      <c r="E50" s="3"/>
      <c r="F50" s="3"/>
      <c r="G50" s="5">
        <v>0</v>
      </c>
      <c r="H50" s="7">
        <v>106336.95080365401</v>
      </c>
    </row>
    <row r="51" spans="1:8" x14ac:dyDescent="0.3">
      <c r="A51" s="12" t="s">
        <v>32</v>
      </c>
      <c r="B51" s="3">
        <v>2017</v>
      </c>
      <c r="C51" s="5">
        <v>147.38795325838183</v>
      </c>
      <c r="D51" s="5">
        <v>215254.75629996607</v>
      </c>
      <c r="E51" s="3"/>
      <c r="F51" s="3"/>
      <c r="G51" s="5">
        <v>0</v>
      </c>
      <c r="H51" s="7">
        <v>19013789.6266363</v>
      </c>
    </row>
    <row r="52" spans="1:8" x14ac:dyDescent="0.3">
      <c r="A52" s="12" t="s">
        <v>33</v>
      </c>
      <c r="B52" s="3">
        <v>2017</v>
      </c>
      <c r="C52" s="5">
        <v>246.70028850387783</v>
      </c>
      <c r="D52" s="5">
        <v>83509.739551646504</v>
      </c>
      <c r="E52" s="3"/>
      <c r="F52" s="3"/>
      <c r="G52" s="5">
        <v>0</v>
      </c>
      <c r="H52" s="7">
        <v>12175135.072319999</v>
      </c>
    </row>
    <row r="53" spans="1:8" x14ac:dyDescent="0.3">
      <c r="A53" s="12" t="s">
        <v>34</v>
      </c>
      <c r="B53" s="3">
        <v>2017</v>
      </c>
      <c r="C53" s="5">
        <v>47.86954671456261</v>
      </c>
      <c r="D53" s="5">
        <v>105422.13884250581</v>
      </c>
      <c r="E53" s="3"/>
      <c r="F53" s="3"/>
      <c r="G53" s="5">
        <v>0</v>
      </c>
      <c r="H53" s="7">
        <v>1045346.878197</v>
      </c>
    </row>
    <row r="54" spans="1:8" x14ac:dyDescent="0.3">
      <c r="A54" s="12" t="s">
        <v>35</v>
      </c>
      <c r="B54" s="3">
        <v>2017</v>
      </c>
      <c r="C54" s="5">
        <v>9.3707169284473562</v>
      </c>
      <c r="D54" s="5">
        <v>77522.655287580536</v>
      </c>
      <c r="E54" s="3"/>
      <c r="F54" s="3"/>
      <c r="G54" s="5">
        <v>0</v>
      </c>
      <c r="H54" s="7">
        <v>211669.707649363</v>
      </c>
    </row>
    <row r="55" spans="1:8" x14ac:dyDescent="0.3">
      <c r="A55" s="12" t="s">
        <v>339</v>
      </c>
      <c r="B55" s="3">
        <v>2017</v>
      </c>
      <c r="C55" s="5">
        <v>27.158002487601628</v>
      </c>
      <c r="D55" s="5">
        <v>485491.67809941579</v>
      </c>
      <c r="E55" s="3"/>
      <c r="F55" s="3"/>
      <c r="G55" s="5">
        <v>0</v>
      </c>
      <c r="H55" s="7">
        <v>4562624.5983616002</v>
      </c>
    </row>
    <row r="56" spans="1:8" x14ac:dyDescent="0.3">
      <c r="A56" s="12" t="s">
        <v>37</v>
      </c>
      <c r="B56" s="3">
        <v>2017</v>
      </c>
      <c r="C56" s="5">
        <v>0</v>
      </c>
      <c r="D56" s="5">
        <v>3102.0365473039951</v>
      </c>
      <c r="E56" s="3"/>
      <c r="F56" s="3"/>
      <c r="G56" s="5">
        <v>0</v>
      </c>
      <c r="H56" s="7">
        <v>15116295.5624159</v>
      </c>
    </row>
    <row r="57" spans="1:8" x14ac:dyDescent="0.3">
      <c r="A57" s="12" t="s">
        <v>38</v>
      </c>
      <c r="B57" s="3">
        <v>2017</v>
      </c>
      <c r="C57" s="5">
        <v>0</v>
      </c>
      <c r="D57" s="5">
        <v>46748.529082667759</v>
      </c>
      <c r="E57" s="3"/>
      <c r="F57" s="3"/>
      <c r="G57" s="5">
        <v>424715.66885091801</v>
      </c>
      <c r="H57" s="7">
        <v>4541130.0795722799</v>
      </c>
    </row>
    <row r="58" spans="1:8" x14ac:dyDescent="0.3">
      <c r="A58" s="12" t="s">
        <v>40</v>
      </c>
      <c r="B58" s="3">
        <v>2017</v>
      </c>
      <c r="C58" s="5">
        <v>0</v>
      </c>
      <c r="D58" s="5">
        <v>0</v>
      </c>
      <c r="E58" s="3"/>
      <c r="F58" s="3"/>
      <c r="G58" s="5">
        <v>17085.181849968001</v>
      </c>
      <c r="H58" s="7">
        <v>6606334.6061310004</v>
      </c>
    </row>
    <row r="59" spans="1:8" x14ac:dyDescent="0.3">
      <c r="A59" s="12" t="s">
        <v>340</v>
      </c>
      <c r="B59" s="3">
        <v>2017</v>
      </c>
      <c r="C59" s="5">
        <v>90.500528608494804</v>
      </c>
      <c r="D59" s="5">
        <v>7885.1382669176583</v>
      </c>
      <c r="E59" s="3"/>
      <c r="F59" s="3"/>
      <c r="G59" s="5">
        <v>4323.4442295764702</v>
      </c>
      <c r="H59" s="7">
        <v>10003320.2561376</v>
      </c>
    </row>
    <row r="60" spans="1:8" x14ac:dyDescent="0.3">
      <c r="A60" s="12" t="s">
        <v>341</v>
      </c>
      <c r="B60" s="3">
        <v>2017</v>
      </c>
      <c r="C60" s="5">
        <v>4.8085708286768396</v>
      </c>
      <c r="D60" s="5">
        <v>0</v>
      </c>
      <c r="E60" s="3"/>
      <c r="F60" s="3"/>
      <c r="G60" s="5">
        <v>762650.14993081102</v>
      </c>
      <c r="H60" s="7">
        <v>10788234.871120499</v>
      </c>
    </row>
    <row r="61" spans="1:8" x14ac:dyDescent="0.3">
      <c r="A61" s="12" t="s">
        <v>46</v>
      </c>
      <c r="B61" s="3">
        <v>2017</v>
      </c>
      <c r="C61" s="5">
        <v>4.0963750740265921</v>
      </c>
      <c r="D61" s="5">
        <v>0</v>
      </c>
      <c r="E61" s="3"/>
      <c r="F61" s="3"/>
      <c r="G61" s="5">
        <v>2253.5608141175999</v>
      </c>
      <c r="H61" s="7">
        <v>8551445.5057939608</v>
      </c>
    </row>
    <row r="62" spans="1:8" x14ac:dyDescent="0.3">
      <c r="A62" s="12" t="s">
        <v>47</v>
      </c>
      <c r="B62" s="3">
        <v>2017</v>
      </c>
      <c r="C62" s="5">
        <v>24.557430736918779</v>
      </c>
      <c r="D62" s="5">
        <v>0</v>
      </c>
      <c r="E62" s="3"/>
      <c r="F62" s="3"/>
      <c r="G62" s="5">
        <v>0</v>
      </c>
      <c r="H62" s="7">
        <v>27456.062827317099</v>
      </c>
    </row>
    <row r="63" spans="1:8" x14ac:dyDescent="0.3">
      <c r="A63" s="12" t="s">
        <v>342</v>
      </c>
      <c r="B63" s="3">
        <v>2017</v>
      </c>
      <c r="C63" s="5">
        <v>44.838488890409565</v>
      </c>
      <c r="D63" s="5">
        <v>36623.664310225002</v>
      </c>
      <c r="E63" s="3"/>
      <c r="F63" s="3"/>
      <c r="G63" s="5">
        <v>0</v>
      </c>
      <c r="H63" s="7">
        <v>1609608.5374378001</v>
      </c>
    </row>
    <row r="64" spans="1:8" x14ac:dyDescent="0.3">
      <c r="A64" s="12" t="s">
        <v>343</v>
      </c>
      <c r="B64" s="3">
        <v>2017</v>
      </c>
      <c r="C64" s="5">
        <v>594.582789442322</v>
      </c>
      <c r="D64" s="5">
        <v>2977.9440481864876</v>
      </c>
      <c r="E64" s="3"/>
      <c r="F64" s="3"/>
      <c r="G64" s="5">
        <v>402.197152475434</v>
      </c>
      <c r="H64" s="7">
        <v>19633.344809578899</v>
      </c>
    </row>
    <row r="65" spans="1:8" x14ac:dyDescent="0.3">
      <c r="A65" s="12" t="s">
        <v>344</v>
      </c>
      <c r="B65" s="3">
        <v>2017</v>
      </c>
      <c r="C65" s="5">
        <v>716.46318143580561</v>
      </c>
      <c r="D65" s="5">
        <v>112659.60401357096</v>
      </c>
      <c r="E65" s="3"/>
      <c r="F65" s="3"/>
      <c r="G65" s="5">
        <v>0</v>
      </c>
      <c r="H65" s="7">
        <v>39284.451985749001</v>
      </c>
    </row>
    <row r="66" spans="1:8" x14ac:dyDescent="0.3">
      <c r="A66" s="12" t="s">
        <v>345</v>
      </c>
      <c r="B66" s="3">
        <v>2017</v>
      </c>
      <c r="C66" s="5">
        <v>25.594299670201782</v>
      </c>
      <c r="D66" s="5">
        <v>0</v>
      </c>
      <c r="E66" s="3"/>
      <c r="F66" s="3"/>
      <c r="G66" s="5">
        <v>0</v>
      </c>
      <c r="H66" s="7">
        <v>304383.353580795</v>
      </c>
    </row>
    <row r="67" spans="1:8" x14ac:dyDescent="0.3">
      <c r="A67" s="12" t="s">
        <v>346</v>
      </c>
      <c r="B67" s="3">
        <v>2017</v>
      </c>
      <c r="C67" s="5">
        <v>7.7284308365721825</v>
      </c>
      <c r="D67" s="5">
        <v>12385.199836442967</v>
      </c>
      <c r="E67" s="3"/>
      <c r="F67" s="3"/>
      <c r="G67" s="5">
        <v>4732.6727825849403</v>
      </c>
      <c r="H67" s="7">
        <v>152976.777399743</v>
      </c>
    </row>
    <row r="68" spans="1:8" x14ac:dyDescent="0.3">
      <c r="A68" s="12" t="s">
        <v>347</v>
      </c>
      <c r="B68" s="3">
        <v>2017</v>
      </c>
      <c r="C68" s="5">
        <v>5061.5863500509067</v>
      </c>
      <c r="D68" s="5">
        <v>4904.2037167500484</v>
      </c>
      <c r="E68" s="3"/>
      <c r="F68" s="3"/>
      <c r="G68" s="5">
        <v>114.34154522114</v>
      </c>
      <c r="H68" s="7">
        <v>219129.65793540701</v>
      </c>
    </row>
    <row r="69" spans="1:8" x14ac:dyDescent="0.3">
      <c r="A69" s="12" t="s">
        <v>348</v>
      </c>
      <c r="B69" s="3">
        <v>2017</v>
      </c>
      <c r="C69" s="5">
        <v>28893.947913252414</v>
      </c>
      <c r="D69" s="5">
        <v>0</v>
      </c>
      <c r="E69" s="3"/>
      <c r="F69" s="3"/>
      <c r="G69" s="5">
        <v>108.448769810234</v>
      </c>
      <c r="H69" s="7">
        <v>63737.151007006498</v>
      </c>
    </row>
    <row r="70" spans="1:8" x14ac:dyDescent="0.3">
      <c r="A70" s="12" t="s">
        <v>349</v>
      </c>
      <c r="B70" s="3">
        <v>2017</v>
      </c>
      <c r="C70" s="5">
        <v>0</v>
      </c>
      <c r="D70" s="5">
        <v>0</v>
      </c>
      <c r="E70" s="3"/>
      <c r="F70" s="3"/>
      <c r="G70" s="5">
        <v>76.213030656264493</v>
      </c>
      <c r="H70" s="7">
        <v>272610.35855157202</v>
      </c>
    </row>
    <row r="71" spans="1:8" x14ac:dyDescent="0.3">
      <c r="A71" s="12" t="s">
        <v>59</v>
      </c>
      <c r="B71" s="3">
        <v>2017</v>
      </c>
      <c r="C71" s="5">
        <v>27.446604963613705</v>
      </c>
      <c r="D71" s="5">
        <v>11525.88928403954</v>
      </c>
      <c r="E71" s="3"/>
      <c r="F71" s="3"/>
      <c r="G71" s="5">
        <v>306.00504987659002</v>
      </c>
      <c r="H71" s="7">
        <v>39684.464655401403</v>
      </c>
    </row>
    <row r="72" spans="1:8" x14ac:dyDescent="0.3">
      <c r="A72" s="12" t="s">
        <v>60</v>
      </c>
      <c r="B72" s="3">
        <v>2017</v>
      </c>
      <c r="C72" s="5">
        <f>(85.93+14.85)*$C$3/10000</f>
        <v>1005734.01</v>
      </c>
      <c r="D72" s="5">
        <v>7824.5120392907784</v>
      </c>
      <c r="E72" s="3" t="s">
        <v>277</v>
      </c>
      <c r="F72" s="3"/>
      <c r="G72" s="5">
        <v>1376.04565728529</v>
      </c>
      <c r="H72" s="7">
        <v>93840.908771041504</v>
      </c>
    </row>
    <row r="73" spans="1:8" x14ac:dyDescent="0.3">
      <c r="A73" s="12" t="s">
        <v>61</v>
      </c>
      <c r="B73" s="3">
        <v>2017</v>
      </c>
      <c r="C73" s="5">
        <f>16.4*$C$3/10000</f>
        <v>163663.79999999999</v>
      </c>
      <c r="D73" s="5">
        <v>3425.7908994441468</v>
      </c>
      <c r="E73" s="3" t="s">
        <v>224</v>
      </c>
      <c r="F73" s="3"/>
      <c r="G73" s="5">
        <v>0</v>
      </c>
      <c r="H73" s="7">
        <v>67059.040562973605</v>
      </c>
    </row>
    <row r="74" spans="1:8" x14ac:dyDescent="0.3">
      <c r="A74" s="12" t="s">
        <v>62</v>
      </c>
      <c r="B74" s="3">
        <v>2017</v>
      </c>
      <c r="C74" s="5">
        <v>115.47325100949767</v>
      </c>
      <c r="D74" s="5">
        <v>1120.52273273942</v>
      </c>
      <c r="E74" s="3"/>
      <c r="F74" s="3"/>
      <c r="G74" s="5">
        <v>171490.336839264</v>
      </c>
      <c r="H74" s="7">
        <v>947857.24553314201</v>
      </c>
    </row>
    <row r="75" spans="1:8" x14ac:dyDescent="0.3">
      <c r="A75" s="12" t="s">
        <v>63</v>
      </c>
      <c r="B75" s="3">
        <v>2017</v>
      </c>
      <c r="C75" s="5">
        <v>1.5351729396591056</v>
      </c>
      <c r="D75" s="5">
        <v>32.731084916507655</v>
      </c>
      <c r="E75" s="3"/>
      <c r="F75" s="3"/>
      <c r="G75" s="5">
        <v>43407.373543023699</v>
      </c>
      <c r="H75" s="7">
        <v>399254.77664865297</v>
      </c>
    </row>
    <row r="76" spans="1:8" x14ac:dyDescent="0.3">
      <c r="A76" s="12" t="s">
        <v>64</v>
      </c>
      <c r="B76" s="3">
        <v>2017</v>
      </c>
      <c r="C76" s="5">
        <v>39.703698343510496</v>
      </c>
      <c r="D76" s="5">
        <v>19647.355844772137</v>
      </c>
      <c r="E76" s="3"/>
      <c r="F76" s="3"/>
      <c r="G76" s="5">
        <v>43886.409331131399</v>
      </c>
      <c r="H76" s="7">
        <v>127268.081462271</v>
      </c>
    </row>
    <row r="77" spans="1:8" x14ac:dyDescent="0.3">
      <c r="A77" s="12" t="s">
        <v>65</v>
      </c>
      <c r="B77" s="3">
        <v>2017</v>
      </c>
      <c r="C77" s="5">
        <v>104.38773747214492</v>
      </c>
      <c r="D77" s="5">
        <v>6007.768787463363</v>
      </c>
      <c r="E77" s="3"/>
      <c r="F77" s="3"/>
      <c r="G77" s="5">
        <v>103772.07941060299</v>
      </c>
      <c r="H77" s="7">
        <v>9348231.3555980604</v>
      </c>
    </row>
    <row r="78" spans="1:8" x14ac:dyDescent="0.3">
      <c r="A78" s="12" t="s">
        <v>350</v>
      </c>
      <c r="B78" s="3">
        <v>2017</v>
      </c>
      <c r="C78" s="5">
        <v>32.342781478054114</v>
      </c>
      <c r="D78" s="5">
        <v>234858.36630595295</v>
      </c>
      <c r="E78" s="3"/>
      <c r="F78" s="3"/>
      <c r="G78" s="5">
        <v>0</v>
      </c>
      <c r="H78" s="7">
        <v>5909487.2797227697</v>
      </c>
    </row>
    <row r="79" spans="1:8" x14ac:dyDescent="0.3">
      <c r="A79" s="12" t="s">
        <v>70</v>
      </c>
      <c r="B79" s="3">
        <v>2017</v>
      </c>
      <c r="C79" s="5">
        <v>0</v>
      </c>
      <c r="D79" s="5">
        <v>5364.4613042295559</v>
      </c>
      <c r="E79" s="3"/>
      <c r="F79" s="3"/>
      <c r="G79" s="5">
        <v>88453.681064938297</v>
      </c>
      <c r="H79" s="7">
        <v>114147.035005168</v>
      </c>
    </row>
    <row r="80" spans="1:8" x14ac:dyDescent="0.3">
      <c r="A80" s="12" t="s">
        <v>351</v>
      </c>
      <c r="B80" s="3">
        <v>2017</v>
      </c>
      <c r="C80" s="5">
        <v>131.32784660027016</v>
      </c>
      <c r="D80" s="5">
        <v>0</v>
      </c>
      <c r="E80" s="3"/>
      <c r="F80" s="3"/>
      <c r="G80" s="5">
        <v>389668.00679727201</v>
      </c>
      <c r="H80" s="7">
        <v>2139439.8096773098</v>
      </c>
    </row>
    <row r="81" spans="1:8" x14ac:dyDescent="0.3">
      <c r="A81" s="12" t="s">
        <v>352</v>
      </c>
      <c r="B81" s="3">
        <v>2017</v>
      </c>
      <c r="C81" s="5">
        <v>97093.854509347992</v>
      </c>
      <c r="D81" s="5">
        <v>0</v>
      </c>
      <c r="E81" s="3"/>
      <c r="F81" s="3"/>
      <c r="G81" s="5">
        <v>97313.943083855105</v>
      </c>
      <c r="H81" s="7">
        <v>271503.92463625502</v>
      </c>
    </row>
    <row r="82" spans="1:8" x14ac:dyDescent="0.3">
      <c r="A82" s="12" t="s">
        <v>76</v>
      </c>
      <c r="B82" s="3">
        <v>2017</v>
      </c>
      <c r="C82" s="5">
        <v>41.053823955793042</v>
      </c>
      <c r="D82" s="5">
        <v>0</v>
      </c>
      <c r="E82" s="3"/>
      <c r="F82" s="3"/>
      <c r="G82" s="5">
        <v>2769009.0875155302</v>
      </c>
      <c r="H82" s="7">
        <v>566859.06810671103</v>
      </c>
    </row>
    <row r="83" spans="1:8" x14ac:dyDescent="0.3">
      <c r="A83" s="12" t="s">
        <v>77</v>
      </c>
      <c r="B83" s="3">
        <v>2017</v>
      </c>
      <c r="C83" s="5">
        <v>39.501385555397029</v>
      </c>
      <c r="D83" s="5">
        <v>0</v>
      </c>
      <c r="E83" s="3"/>
      <c r="F83" s="3"/>
      <c r="G83" s="5">
        <v>0</v>
      </c>
      <c r="H83" s="7">
        <v>100094.720068418</v>
      </c>
    </row>
    <row r="84" spans="1:8" x14ac:dyDescent="0.3">
      <c r="A84" s="12" t="s">
        <v>78</v>
      </c>
      <c r="B84" s="3">
        <v>2017</v>
      </c>
      <c r="C84" s="5">
        <v>66.251764773861325</v>
      </c>
      <c r="D84" s="5">
        <v>0</v>
      </c>
      <c r="E84" s="3"/>
      <c r="F84" s="3"/>
      <c r="G84" s="5">
        <v>3107.17006621579</v>
      </c>
      <c r="H84" s="7">
        <v>774613.55434678495</v>
      </c>
    </row>
    <row r="85" spans="1:8" x14ac:dyDescent="0.3">
      <c r="A85" s="12" t="s">
        <v>353</v>
      </c>
      <c r="B85" s="3">
        <v>2017</v>
      </c>
      <c r="C85" s="5">
        <v>11.040640380917706</v>
      </c>
      <c r="D85" s="5">
        <v>0</v>
      </c>
      <c r="F85" s="3"/>
      <c r="G85" s="5">
        <v>40771012.229488596</v>
      </c>
      <c r="H85" s="7">
        <v>124132.848823957</v>
      </c>
    </row>
    <row r="86" spans="1:8" x14ac:dyDescent="0.3">
      <c r="A86" s="12" t="s">
        <v>354</v>
      </c>
      <c r="B86" s="3">
        <v>2017</v>
      </c>
      <c r="C86" s="5">
        <v>16.700966387097417</v>
      </c>
      <c r="D86" s="5">
        <v>0</v>
      </c>
      <c r="F86" s="3"/>
      <c r="G86" s="5">
        <v>13632317.201494901</v>
      </c>
      <c r="H86" s="7">
        <v>310553.85977651097</v>
      </c>
    </row>
    <row r="87" spans="1:8" x14ac:dyDescent="0.3">
      <c r="A87" s="12" t="s">
        <v>83</v>
      </c>
      <c r="B87" s="3">
        <v>2017</v>
      </c>
      <c r="C87" s="5">
        <v>0</v>
      </c>
      <c r="D87" s="5">
        <v>0</v>
      </c>
      <c r="E87" s="3"/>
      <c r="F87" s="3"/>
      <c r="G87" s="5">
        <v>6229.6217532023302</v>
      </c>
      <c r="H87" s="7">
        <v>576591.17975254601</v>
      </c>
    </row>
    <row r="88" spans="1:8" x14ac:dyDescent="0.3">
      <c r="A88" s="12" t="s">
        <v>355</v>
      </c>
      <c r="B88" s="3">
        <v>2017</v>
      </c>
      <c r="C88" s="5">
        <v>0.80499202235205081</v>
      </c>
      <c r="D88" s="5">
        <v>0</v>
      </c>
      <c r="E88" s="3"/>
      <c r="F88" s="3"/>
      <c r="G88" s="5">
        <v>125.059434031886</v>
      </c>
      <c r="H88" s="7">
        <v>307354.71333458403</v>
      </c>
    </row>
    <row r="89" spans="1:8" x14ac:dyDescent="0.3">
      <c r="A89" s="12" t="s">
        <v>356</v>
      </c>
      <c r="B89" s="3">
        <v>2017</v>
      </c>
      <c r="C89" s="5">
        <v>0</v>
      </c>
      <c r="D89" s="5">
        <v>0</v>
      </c>
      <c r="E89" s="3"/>
      <c r="F89" s="3"/>
      <c r="G89" s="5">
        <v>1666.8725506707699</v>
      </c>
      <c r="H89" s="7">
        <v>2194993.17548898</v>
      </c>
    </row>
    <row r="90" spans="1:8" x14ac:dyDescent="0.3">
      <c r="A90" s="12" t="s">
        <v>86</v>
      </c>
      <c r="B90" s="3">
        <v>2017</v>
      </c>
      <c r="C90" s="5">
        <v>788.64705466969303</v>
      </c>
      <c r="D90" s="5">
        <v>0</v>
      </c>
      <c r="E90" s="3"/>
      <c r="F90" s="3"/>
      <c r="G90" s="5">
        <v>7139.28600706005</v>
      </c>
      <c r="H90" s="7">
        <v>864548.95353142999</v>
      </c>
    </row>
    <row r="91" spans="1:8" x14ac:dyDescent="0.3">
      <c r="A91" s="12" t="s">
        <v>357</v>
      </c>
      <c r="B91" s="3">
        <v>2017</v>
      </c>
      <c r="C91" s="5">
        <v>0</v>
      </c>
      <c r="D91" s="5">
        <v>0</v>
      </c>
      <c r="E91" s="3"/>
      <c r="F91" s="3"/>
      <c r="G91" s="5">
        <v>0</v>
      </c>
      <c r="H91" s="7">
        <v>2065273.8056628499</v>
      </c>
    </row>
    <row r="92" spans="1:8" x14ac:dyDescent="0.3">
      <c r="A92" s="12" t="s">
        <v>358</v>
      </c>
      <c r="B92" s="3">
        <v>2017</v>
      </c>
      <c r="C92" s="5">
        <v>8.0618333464859262</v>
      </c>
      <c r="D92" s="5">
        <v>0</v>
      </c>
      <c r="E92" s="3"/>
      <c r="F92" s="3"/>
      <c r="G92" s="5">
        <v>786.52613028593203</v>
      </c>
      <c r="H92" s="7">
        <v>601810.74541579199</v>
      </c>
    </row>
    <row r="93" spans="1:8" x14ac:dyDescent="0.3">
      <c r="A93" s="12" t="s">
        <v>359</v>
      </c>
      <c r="B93" s="3">
        <v>2017</v>
      </c>
      <c r="C93" s="5">
        <v>0.17048910986803825</v>
      </c>
      <c r="D93" s="5">
        <v>0</v>
      </c>
      <c r="E93" s="3"/>
      <c r="F93" s="3"/>
      <c r="G93" s="5">
        <v>722.33315610084298</v>
      </c>
      <c r="H93" s="7">
        <v>25814761.923561901</v>
      </c>
    </row>
    <row r="94" spans="1:8" x14ac:dyDescent="0.3">
      <c r="A94" s="12" t="s">
        <v>360</v>
      </c>
      <c r="B94" s="3">
        <v>2017</v>
      </c>
      <c r="C94" s="5">
        <v>2739.9766095101563</v>
      </c>
      <c r="D94" s="5">
        <v>0</v>
      </c>
      <c r="E94" s="3"/>
      <c r="F94" s="3"/>
      <c r="G94" s="5">
        <v>385.30350087481901</v>
      </c>
      <c r="H94" s="7">
        <v>8358290.2806364503</v>
      </c>
    </row>
    <row r="95" spans="1:8" x14ac:dyDescent="0.3">
      <c r="A95" s="12" t="s">
        <v>361</v>
      </c>
      <c r="B95" s="3">
        <v>2017</v>
      </c>
      <c r="C95" s="5">
        <v>462.8610584561942</v>
      </c>
      <c r="D95" s="5">
        <v>0</v>
      </c>
      <c r="E95" s="3"/>
      <c r="F95" s="3"/>
      <c r="G95" s="5">
        <v>0</v>
      </c>
      <c r="H95" s="7">
        <v>1443913.9651949699</v>
      </c>
    </row>
    <row r="96" spans="1:8" x14ac:dyDescent="0.3">
      <c r="A96" s="12" t="s">
        <v>100</v>
      </c>
      <c r="B96" s="3">
        <v>2017</v>
      </c>
      <c r="C96" s="5">
        <v>118.49699384820961</v>
      </c>
      <c r="D96" s="5">
        <v>0</v>
      </c>
      <c r="E96" s="3"/>
      <c r="F96" s="3"/>
      <c r="G96" s="5">
        <v>4747.1270188015997</v>
      </c>
      <c r="H96" s="7">
        <v>50322.071241075799</v>
      </c>
    </row>
    <row r="97" spans="1:8" x14ac:dyDescent="0.3">
      <c r="A97" s="12" t="s">
        <v>101</v>
      </c>
      <c r="B97" s="3">
        <v>2017</v>
      </c>
      <c r="C97" s="5">
        <v>159.31934861242348</v>
      </c>
      <c r="D97" s="5">
        <v>0</v>
      </c>
      <c r="E97" s="3"/>
      <c r="F97" s="3"/>
      <c r="G97" s="5">
        <v>3543.8086681385198</v>
      </c>
      <c r="H97" s="7">
        <v>23060.225413853499</v>
      </c>
    </row>
    <row r="98" spans="1:8" x14ac:dyDescent="0.3">
      <c r="A98" s="12" t="s">
        <v>102</v>
      </c>
      <c r="B98" s="3">
        <v>2017</v>
      </c>
      <c r="C98" s="5">
        <v>462.97842601371104</v>
      </c>
      <c r="D98" s="5">
        <v>0</v>
      </c>
      <c r="F98" s="3"/>
      <c r="G98" s="5">
        <v>8646905.6798240002</v>
      </c>
      <c r="H98" s="7">
        <v>48374.035231096699</v>
      </c>
    </row>
    <row r="99" spans="1:8" x14ac:dyDescent="0.3">
      <c r="A99" s="12" t="s">
        <v>105</v>
      </c>
      <c r="B99" s="3">
        <v>2017</v>
      </c>
      <c r="C99" s="5">
        <v>1107.9629652513822</v>
      </c>
      <c r="D99" s="5">
        <v>0</v>
      </c>
      <c r="E99" s="3"/>
      <c r="F99" s="3"/>
      <c r="G99" s="5">
        <v>0</v>
      </c>
      <c r="H99" s="7">
        <v>36113.926542709902</v>
      </c>
    </row>
    <row r="100" spans="1:8" x14ac:dyDescent="0.3">
      <c r="A100" s="12" t="s">
        <v>107</v>
      </c>
      <c r="B100" s="3">
        <v>2017</v>
      </c>
      <c r="C100" s="5">
        <v>1797.7426541528127</v>
      </c>
      <c r="D100" s="5">
        <v>0</v>
      </c>
      <c r="E100" s="3"/>
      <c r="F100" s="3"/>
      <c r="G100" s="5">
        <v>1499524.3925081899</v>
      </c>
      <c r="H100" s="7">
        <v>152587.15367289301</v>
      </c>
    </row>
    <row r="101" spans="1:8" x14ac:dyDescent="0.3">
      <c r="A101" s="12" t="s">
        <v>108</v>
      </c>
      <c r="B101" s="3">
        <v>2017</v>
      </c>
      <c r="C101" s="5">
        <v>0</v>
      </c>
      <c r="D101" s="5">
        <v>0</v>
      </c>
      <c r="E101" s="3"/>
      <c r="F101" s="3"/>
      <c r="G101" s="5">
        <v>3313.3756658972802</v>
      </c>
      <c r="H101" s="7">
        <v>42713.197761422198</v>
      </c>
    </row>
    <row r="102" spans="1:8" x14ac:dyDescent="0.3">
      <c r="A102" s="12" t="s">
        <v>109</v>
      </c>
      <c r="B102" s="3">
        <v>2017</v>
      </c>
      <c r="C102" s="5">
        <v>0</v>
      </c>
      <c r="D102" s="5">
        <v>0</v>
      </c>
      <c r="E102" s="3"/>
      <c r="F102" s="3"/>
      <c r="G102" s="5">
        <v>3053.6672986179401</v>
      </c>
      <c r="H102" s="7">
        <v>464227.48114649398</v>
      </c>
    </row>
    <row r="103" spans="1:8" x14ac:dyDescent="0.3">
      <c r="A103" s="12" t="s">
        <v>111</v>
      </c>
      <c r="B103" s="3">
        <v>2017</v>
      </c>
      <c r="C103" s="5">
        <v>61424.794165477448</v>
      </c>
      <c r="D103" s="5">
        <v>0</v>
      </c>
      <c r="E103" s="3"/>
      <c r="F103" s="3"/>
      <c r="G103" s="5">
        <v>185579.58401694399</v>
      </c>
      <c r="H103" s="7">
        <v>74844.515556801096</v>
      </c>
    </row>
    <row r="104" spans="1:8" x14ac:dyDescent="0.3">
      <c r="A104" s="12" t="s">
        <v>113</v>
      </c>
      <c r="B104" s="3">
        <v>2017</v>
      </c>
      <c r="C104" s="5">
        <v>1859.5280906974137</v>
      </c>
      <c r="D104" s="5">
        <v>0</v>
      </c>
      <c r="E104" s="3"/>
      <c r="F104" s="3"/>
      <c r="G104" s="5">
        <v>232.931256272952</v>
      </c>
      <c r="H104" s="7">
        <v>38480.959628293997</v>
      </c>
    </row>
    <row r="105" spans="1:8" x14ac:dyDescent="0.3">
      <c r="A105" s="12" t="s">
        <v>362</v>
      </c>
      <c r="B105" s="3">
        <v>2017</v>
      </c>
      <c r="C105" s="5">
        <v>0</v>
      </c>
      <c r="D105" s="5">
        <v>0</v>
      </c>
      <c r="E105" s="3"/>
      <c r="F105" s="3"/>
      <c r="G105" s="5">
        <v>350.56191505808198</v>
      </c>
      <c r="H105" s="7">
        <v>139583.93493141499</v>
      </c>
    </row>
    <row r="106" spans="1:8" x14ac:dyDescent="0.3">
      <c r="A106" s="12" t="s">
        <v>117</v>
      </c>
      <c r="B106" s="3">
        <v>2017</v>
      </c>
      <c r="C106" s="5">
        <v>5629.375568161885</v>
      </c>
      <c r="D106" s="5">
        <v>0</v>
      </c>
      <c r="E106" s="3"/>
      <c r="F106" s="3"/>
      <c r="G106" s="5">
        <v>450.69087670104102</v>
      </c>
      <c r="H106" s="7">
        <v>38614.505662385098</v>
      </c>
    </row>
    <row r="107" spans="1:8" x14ac:dyDescent="0.3">
      <c r="A107" s="12" t="s">
        <v>118</v>
      </c>
      <c r="B107" s="3">
        <v>2017</v>
      </c>
      <c r="C107" s="5">
        <v>0</v>
      </c>
      <c r="D107" s="5">
        <v>0</v>
      </c>
      <c r="E107" s="3"/>
      <c r="F107" s="3"/>
      <c r="G107" s="5">
        <v>159129.73344296499</v>
      </c>
      <c r="H107" s="7">
        <v>33401.009682674099</v>
      </c>
    </row>
    <row r="108" spans="1:8" x14ac:dyDescent="0.3">
      <c r="A108" s="12" t="s">
        <v>119</v>
      </c>
      <c r="B108" s="3">
        <v>2017</v>
      </c>
      <c r="C108" s="5">
        <v>0</v>
      </c>
      <c r="D108" s="5">
        <v>0</v>
      </c>
      <c r="E108" s="3"/>
      <c r="F108" s="3"/>
      <c r="G108" s="5">
        <v>0</v>
      </c>
      <c r="H108" s="7">
        <v>40729.9230872486</v>
      </c>
    </row>
    <row r="109" spans="1:8" x14ac:dyDescent="0.3">
      <c r="A109" s="12" t="s">
        <v>120</v>
      </c>
      <c r="B109" s="3">
        <v>2017</v>
      </c>
      <c r="C109" s="5">
        <v>3749.115178184034</v>
      </c>
      <c r="D109" s="5">
        <v>0</v>
      </c>
      <c r="E109" s="3"/>
      <c r="F109" s="3"/>
      <c r="G109" s="5">
        <v>59.165192049439902</v>
      </c>
      <c r="H109" s="7">
        <v>123707.86334131401</v>
      </c>
    </row>
    <row r="110" spans="1:8" x14ac:dyDescent="0.3">
      <c r="A110" s="12" t="s">
        <v>121</v>
      </c>
      <c r="B110" s="3">
        <v>2017</v>
      </c>
      <c r="C110" s="5">
        <v>272.96004597674215</v>
      </c>
      <c r="D110" s="5">
        <v>0</v>
      </c>
      <c r="E110" s="3"/>
      <c r="F110" s="3"/>
      <c r="G110" s="5">
        <v>0</v>
      </c>
      <c r="H110" s="7">
        <v>24905.096234028599</v>
      </c>
    </row>
    <row r="111" spans="1:8" x14ac:dyDescent="0.3">
      <c r="A111" s="12" t="s">
        <v>122</v>
      </c>
      <c r="B111" s="3">
        <v>2017</v>
      </c>
      <c r="C111" s="5">
        <v>347.55530530785148</v>
      </c>
      <c r="D111" s="5">
        <v>0</v>
      </c>
      <c r="E111" s="3"/>
      <c r="F111" s="3"/>
      <c r="G111" s="5">
        <v>0</v>
      </c>
      <c r="H111" s="7">
        <v>51072.690924246599</v>
      </c>
    </row>
    <row r="112" spans="1:8" x14ac:dyDescent="0.3">
      <c r="A112" s="12" t="s">
        <v>123</v>
      </c>
      <c r="B112" s="3">
        <v>2017</v>
      </c>
      <c r="C112" s="5">
        <v>185.75778707572022</v>
      </c>
      <c r="D112" s="5">
        <v>0</v>
      </c>
      <c r="E112" s="3"/>
      <c r="F112" s="3"/>
      <c r="G112" s="5">
        <v>817183.53542633797</v>
      </c>
      <c r="H112" s="7">
        <v>362414.90232725302</v>
      </c>
    </row>
    <row r="113" spans="1:8" x14ac:dyDescent="0.3">
      <c r="A113" s="12" t="s">
        <v>124</v>
      </c>
      <c r="B113" s="3">
        <v>2017</v>
      </c>
      <c r="C113" s="5">
        <v>58.774127419304357</v>
      </c>
      <c r="D113" s="5">
        <v>0</v>
      </c>
      <c r="E113" s="3"/>
      <c r="F113" s="3"/>
      <c r="G113" s="5">
        <v>0</v>
      </c>
      <c r="H113" s="7">
        <v>43524.034069465299</v>
      </c>
    </row>
    <row r="114" spans="1:8" x14ac:dyDescent="0.3">
      <c r="A114" s="12" t="s">
        <v>125</v>
      </c>
      <c r="B114" s="3">
        <v>2017</v>
      </c>
      <c r="C114" s="5">
        <v>1.2044818659937051</v>
      </c>
      <c r="D114" s="5">
        <v>0</v>
      </c>
      <c r="E114" s="3"/>
      <c r="F114" s="3"/>
      <c r="G114" s="5">
        <v>491.871841981427</v>
      </c>
      <c r="H114" s="7">
        <v>283912.67678732099</v>
      </c>
    </row>
    <row r="115" spans="1:8" x14ac:dyDescent="0.3">
      <c r="A115" s="12" t="s">
        <v>126</v>
      </c>
      <c r="B115" s="3">
        <v>2017</v>
      </c>
      <c r="C115" s="5">
        <v>25.380423441813988</v>
      </c>
      <c r="D115" s="5">
        <v>0</v>
      </c>
      <c r="E115" s="3"/>
      <c r="F115" s="3"/>
      <c r="G115" s="5">
        <v>83.844428896524406</v>
      </c>
      <c r="H115" s="7">
        <v>76226.582169543894</v>
      </c>
    </row>
    <row r="116" spans="1:8" x14ac:dyDescent="0.3">
      <c r="A116" s="12" t="s">
        <v>363</v>
      </c>
      <c r="B116" s="3">
        <v>2017</v>
      </c>
      <c r="C116" s="5">
        <v>1173.7487227407457</v>
      </c>
      <c r="D116" s="5">
        <v>0</v>
      </c>
      <c r="E116" s="3"/>
      <c r="F116" s="3"/>
      <c r="G116" s="5">
        <v>70.397274980779201</v>
      </c>
      <c r="H116" s="7">
        <v>38043.660771222399</v>
      </c>
    </row>
    <row r="117" spans="1:8" x14ac:dyDescent="0.3">
      <c r="A117" s="12" t="s">
        <v>364</v>
      </c>
      <c r="B117" s="3">
        <v>2017</v>
      </c>
      <c r="C117" s="5">
        <v>4.0970492292881309</v>
      </c>
      <c r="D117" s="5">
        <v>0</v>
      </c>
      <c r="E117" s="3"/>
      <c r="F117" s="3"/>
      <c r="G117" s="5">
        <v>5.0472468800107499</v>
      </c>
      <c r="H117" s="7">
        <v>148867.29842144801</v>
      </c>
    </row>
    <row r="118" spans="1:8" x14ac:dyDescent="0.3">
      <c r="A118" s="12" t="s">
        <v>131</v>
      </c>
      <c r="B118" s="3">
        <v>2017</v>
      </c>
      <c r="C118" s="5">
        <v>0</v>
      </c>
      <c r="D118" s="5">
        <v>0</v>
      </c>
      <c r="E118" s="3"/>
      <c r="F118" s="3"/>
      <c r="G118" s="5">
        <v>5.6886662694096897</v>
      </c>
      <c r="H118" s="7">
        <v>110124.87630594699</v>
      </c>
    </row>
    <row r="119" spans="1:8" x14ac:dyDescent="0.3">
      <c r="A119" s="12" t="s">
        <v>365</v>
      </c>
      <c r="B119" s="3">
        <v>2017</v>
      </c>
      <c r="C119" s="5">
        <v>0</v>
      </c>
      <c r="D119" s="5">
        <v>0</v>
      </c>
      <c r="E119" s="3"/>
      <c r="F119" s="3"/>
      <c r="G119" s="5">
        <v>1.7345450291211399</v>
      </c>
      <c r="H119" s="7">
        <v>36135.639333644001</v>
      </c>
    </row>
    <row r="120" spans="1:8" x14ac:dyDescent="0.3">
      <c r="A120" s="12" t="s">
        <v>366</v>
      </c>
      <c r="B120" s="3">
        <v>2017</v>
      </c>
      <c r="C120" s="5">
        <v>0</v>
      </c>
      <c r="D120" s="5">
        <v>0</v>
      </c>
      <c r="E120" s="3"/>
      <c r="F120" s="3"/>
      <c r="G120" s="5">
        <v>0</v>
      </c>
      <c r="H120" s="7">
        <v>306858.33776984498</v>
      </c>
    </row>
    <row r="121" spans="1:8" x14ac:dyDescent="0.3">
      <c r="A121" s="12" t="s">
        <v>367</v>
      </c>
      <c r="B121" s="3">
        <v>2017</v>
      </c>
      <c r="C121" s="5">
        <v>0</v>
      </c>
      <c r="D121" s="5">
        <v>0</v>
      </c>
      <c r="E121" s="3"/>
      <c r="F121" s="3"/>
      <c r="G121" s="5">
        <v>285992.47550422698</v>
      </c>
      <c r="H121" s="7">
        <v>113440.02366652701</v>
      </c>
    </row>
    <row r="122" spans="1:8" x14ac:dyDescent="0.3">
      <c r="A122" s="12" t="s">
        <v>136</v>
      </c>
      <c r="B122" s="3">
        <v>2017</v>
      </c>
      <c r="C122" s="5">
        <v>73.192569322695618</v>
      </c>
      <c r="D122" s="5">
        <v>0</v>
      </c>
      <c r="E122" s="3"/>
      <c r="F122" s="3"/>
      <c r="G122" s="5">
        <v>0</v>
      </c>
      <c r="H122" s="7">
        <v>48913.115917389201</v>
      </c>
    </row>
    <row r="123" spans="1:8" x14ac:dyDescent="0.3">
      <c r="A123" s="12" t="s">
        <v>137</v>
      </c>
      <c r="B123" s="3">
        <v>2017</v>
      </c>
      <c r="C123" s="5">
        <f>4.07*$C$3/10000</f>
        <v>40616.565000000002</v>
      </c>
      <c r="D123" s="5">
        <v>7248.14917990908</v>
      </c>
      <c r="E123" s="3" t="s">
        <v>281</v>
      </c>
      <c r="F123" s="3"/>
      <c r="G123" s="5">
        <v>0</v>
      </c>
      <c r="H123" s="7">
        <v>55371.794298622997</v>
      </c>
    </row>
    <row r="124" spans="1:8" x14ac:dyDescent="0.3">
      <c r="A124" s="12" t="s">
        <v>138</v>
      </c>
      <c r="B124" s="3">
        <v>2017</v>
      </c>
      <c r="C124" s="5">
        <v>0</v>
      </c>
      <c r="D124" s="5">
        <v>0</v>
      </c>
      <c r="E124" s="3"/>
      <c r="F124" s="3"/>
      <c r="G124" s="5">
        <v>310907.92270229402</v>
      </c>
      <c r="H124" s="7">
        <v>29034.774111833602</v>
      </c>
    </row>
    <row r="125" spans="1:8" x14ac:dyDescent="0.3">
      <c r="A125" s="12" t="s">
        <v>139</v>
      </c>
      <c r="B125" s="3">
        <v>2017</v>
      </c>
      <c r="C125" s="5">
        <f>1.51*$C$3/10000</f>
        <v>15069.045</v>
      </c>
      <c r="D125" s="5">
        <v>0</v>
      </c>
      <c r="E125" s="3" t="s">
        <v>230</v>
      </c>
      <c r="F125" s="3"/>
      <c r="G125" s="5">
        <v>0</v>
      </c>
      <c r="H125" s="7">
        <v>131013.55902647501</v>
      </c>
    </row>
    <row r="126" spans="1:8" ht="28" x14ac:dyDescent="0.3">
      <c r="A126" s="12" t="s">
        <v>368</v>
      </c>
      <c r="B126" s="3">
        <v>2017</v>
      </c>
      <c r="C126" s="5">
        <f>1.26*$C$3/10000</f>
        <v>12574.17</v>
      </c>
      <c r="D126" s="5">
        <v>713.35387839409236</v>
      </c>
      <c r="E126" s="3" t="s">
        <v>279</v>
      </c>
      <c r="F126" s="3"/>
      <c r="G126" s="5">
        <v>50933.262957890001</v>
      </c>
      <c r="H126" s="7">
        <v>69565.082161311002</v>
      </c>
    </row>
    <row r="127" spans="1:8" x14ac:dyDescent="0.3">
      <c r="A127" s="12" t="s">
        <v>144</v>
      </c>
      <c r="B127" s="3">
        <v>2017</v>
      </c>
      <c r="C127" s="5">
        <v>1039.2072796024429</v>
      </c>
      <c r="D127" s="5">
        <v>1.5102768875858346</v>
      </c>
      <c r="E127" s="3"/>
      <c r="F127" s="3"/>
      <c r="G127" s="5">
        <v>10385.264214671401</v>
      </c>
      <c r="H127" s="7">
        <v>96416.960250724893</v>
      </c>
    </row>
    <row r="128" spans="1:8" x14ac:dyDescent="0.3">
      <c r="A128" s="12" t="s">
        <v>145</v>
      </c>
      <c r="B128" s="3">
        <v>2017</v>
      </c>
      <c r="C128" s="5">
        <f>2.65*$C$3/10000</f>
        <v>26445.674999999999</v>
      </c>
      <c r="D128" s="5">
        <v>0</v>
      </c>
      <c r="E128" s="3" t="s">
        <v>229</v>
      </c>
      <c r="F128" s="3"/>
      <c r="G128" s="5">
        <v>10086.293513112299</v>
      </c>
      <c r="H128" s="7">
        <v>68621.950445225099</v>
      </c>
    </row>
    <row r="129" spans="1:8" x14ac:dyDescent="0.3">
      <c r="A129" s="12" t="s">
        <v>369</v>
      </c>
      <c r="B129" s="3">
        <v>2017</v>
      </c>
      <c r="C129" s="5">
        <v>0</v>
      </c>
      <c r="D129" s="5">
        <v>51909.488486151444</v>
      </c>
      <c r="E129" s="3"/>
      <c r="F129" s="3"/>
      <c r="G129" s="5">
        <v>20005.331446938198</v>
      </c>
      <c r="H129" s="7">
        <v>169752.57351166301</v>
      </c>
    </row>
    <row r="130" spans="1:8" x14ac:dyDescent="0.3">
      <c r="A130" s="12" t="s">
        <v>370</v>
      </c>
      <c r="B130" s="3">
        <v>2017</v>
      </c>
      <c r="C130" s="5">
        <v>0</v>
      </c>
      <c r="D130" s="5">
        <v>0</v>
      </c>
      <c r="E130" s="3"/>
      <c r="F130" s="3"/>
      <c r="G130" s="5">
        <v>21482.889613445299</v>
      </c>
      <c r="H130" s="7">
        <v>41487.7655149208</v>
      </c>
    </row>
    <row r="131" spans="1:8" x14ac:dyDescent="0.3">
      <c r="A131" s="12" t="s">
        <v>154</v>
      </c>
      <c r="B131" s="3">
        <v>2017</v>
      </c>
      <c r="C131" s="5">
        <v>0</v>
      </c>
      <c r="D131" s="5">
        <v>0</v>
      </c>
      <c r="E131" s="3"/>
      <c r="F131" s="3"/>
      <c r="G131" s="5">
        <v>0</v>
      </c>
      <c r="H131" s="7">
        <v>202032.95442967399</v>
      </c>
    </row>
    <row r="132" spans="1:8" x14ac:dyDescent="0.3">
      <c r="A132" s="12" t="s">
        <v>371</v>
      </c>
      <c r="B132" s="3">
        <v>2017</v>
      </c>
      <c r="C132" s="5">
        <v>3882.4899137965658</v>
      </c>
      <c r="D132" s="5">
        <v>4851.3183249227313</v>
      </c>
      <c r="E132" s="3"/>
      <c r="F132" s="3"/>
      <c r="G132" s="5">
        <v>82887.656383251306</v>
      </c>
      <c r="H132" s="7">
        <v>18019.388560089501</v>
      </c>
    </row>
    <row r="133" spans="1:8" x14ac:dyDescent="0.3">
      <c r="A133" s="12" t="s">
        <v>372</v>
      </c>
      <c r="B133" s="3">
        <v>2017</v>
      </c>
      <c r="C133" s="5">
        <f>0.28*$C$3/10000</f>
        <v>2794.26</v>
      </c>
      <c r="D133" s="5">
        <v>0</v>
      </c>
      <c r="E133" s="3" t="s">
        <v>232</v>
      </c>
      <c r="F133" s="3"/>
      <c r="G133" s="5">
        <v>75795.866844424207</v>
      </c>
      <c r="H133" s="7">
        <v>152289.71652785499</v>
      </c>
    </row>
    <row r="134" spans="1:8" x14ac:dyDescent="0.3">
      <c r="A134" s="12" t="s">
        <v>373</v>
      </c>
      <c r="B134" s="3">
        <v>2017</v>
      </c>
      <c r="C134" s="4">
        <v>45548.395170782765</v>
      </c>
      <c r="D134" s="5">
        <v>0</v>
      </c>
      <c r="F134" s="3"/>
      <c r="G134" s="5">
        <v>9169.6523926265108</v>
      </c>
      <c r="H134" s="7">
        <v>53948.647189081101</v>
      </c>
    </row>
    <row r="135" spans="1:8" x14ac:dyDescent="0.3">
      <c r="A135" s="12" t="s">
        <v>374</v>
      </c>
      <c r="B135" s="3">
        <v>2017</v>
      </c>
      <c r="C135" s="5">
        <v>14877.2615295593</v>
      </c>
      <c r="D135" s="5">
        <v>65.914108009164991</v>
      </c>
      <c r="E135" s="3"/>
      <c r="F135" s="3"/>
      <c r="G135" s="5">
        <v>0</v>
      </c>
      <c r="H135" s="7">
        <v>123674.028742045</v>
      </c>
    </row>
    <row r="136" spans="1:8" x14ac:dyDescent="0.3">
      <c r="A136" s="12" t="s">
        <v>375</v>
      </c>
      <c r="B136" s="3">
        <v>2017</v>
      </c>
      <c r="C136" s="5">
        <v>16467.54375944355</v>
      </c>
      <c r="D136" s="5">
        <v>44.851716488354327</v>
      </c>
      <c r="E136" s="3"/>
      <c r="F136" s="3"/>
      <c r="G136" s="5">
        <v>0</v>
      </c>
      <c r="H136" s="7">
        <v>112404.979334107</v>
      </c>
    </row>
    <row r="137" spans="1:8" x14ac:dyDescent="0.3">
      <c r="A137" s="12" t="s">
        <v>376</v>
      </c>
      <c r="B137" s="3">
        <v>2017</v>
      </c>
      <c r="C137" s="5">
        <v>5930.9251006737195</v>
      </c>
      <c r="D137" s="5">
        <v>0</v>
      </c>
      <c r="E137" s="3"/>
      <c r="F137" s="3"/>
      <c r="G137" s="5">
        <v>33289.238987354598</v>
      </c>
      <c r="H137" s="7">
        <v>60828.551749168597</v>
      </c>
    </row>
    <row r="138" spans="1:8" x14ac:dyDescent="0.3">
      <c r="A138" s="12" t="s">
        <v>377</v>
      </c>
      <c r="B138" s="3">
        <v>2017</v>
      </c>
      <c r="C138" s="5">
        <v>68687.132987622506</v>
      </c>
      <c r="D138" s="5">
        <v>0</v>
      </c>
      <c r="E138" s="3"/>
      <c r="F138" s="3"/>
      <c r="G138" s="5">
        <v>1338758.9238293599</v>
      </c>
      <c r="H138" s="7">
        <v>43815.335685239901</v>
      </c>
    </row>
    <row r="139" spans="1:8" x14ac:dyDescent="0.3">
      <c r="A139" s="12" t="s">
        <v>378</v>
      </c>
      <c r="B139" s="3">
        <v>2017</v>
      </c>
      <c r="C139" s="5">
        <v>383.75124027965956</v>
      </c>
      <c r="D139" s="5">
        <v>0</v>
      </c>
      <c r="E139" s="3"/>
      <c r="F139" s="3"/>
      <c r="G139" s="5">
        <v>0</v>
      </c>
      <c r="H139" s="7">
        <v>55101.313507003302</v>
      </c>
    </row>
    <row r="140" spans="1:8" x14ac:dyDescent="0.3">
      <c r="A140" s="12" t="s">
        <v>379</v>
      </c>
      <c r="B140" s="3">
        <v>2017</v>
      </c>
      <c r="C140" s="5">
        <v>17694.792931000993</v>
      </c>
      <c r="D140" s="5">
        <v>4.1542778789281734</v>
      </c>
      <c r="E140" s="3"/>
      <c r="F140" s="3"/>
      <c r="G140" s="5">
        <v>56306.066093197602</v>
      </c>
      <c r="H140" s="7">
        <v>192521.59991109301</v>
      </c>
    </row>
    <row r="141" spans="1:8" x14ac:dyDescent="0.3">
      <c r="A141" s="12" t="s">
        <v>380</v>
      </c>
      <c r="B141" s="3">
        <v>2017</v>
      </c>
      <c r="C141" s="5">
        <v>5171.0591477268499</v>
      </c>
      <c r="D141" s="5">
        <v>0</v>
      </c>
      <c r="E141" s="3"/>
      <c r="F141" s="3"/>
      <c r="G141" s="5">
        <v>0</v>
      </c>
      <c r="H141" s="7">
        <v>320295.33136795601</v>
      </c>
    </row>
    <row r="142" spans="1:8" x14ac:dyDescent="0.3">
      <c r="A142" s="12" t="s">
        <v>381</v>
      </c>
      <c r="B142" s="3">
        <v>2017</v>
      </c>
      <c r="C142" s="5">
        <v>2395.0294884403456</v>
      </c>
      <c r="D142" s="5">
        <v>0</v>
      </c>
      <c r="E142" s="3"/>
      <c r="F142" s="3"/>
      <c r="G142" s="5">
        <v>0</v>
      </c>
      <c r="H142" s="7">
        <v>69795.917104848093</v>
      </c>
    </row>
    <row r="143" spans="1:8" x14ac:dyDescent="0.3">
      <c r="A143" s="12" t="s">
        <v>382</v>
      </c>
      <c r="B143" s="3">
        <v>2017</v>
      </c>
      <c r="C143" s="5">
        <v>732.68033824967188</v>
      </c>
      <c r="D143" s="5">
        <v>0</v>
      </c>
      <c r="E143" s="3"/>
      <c r="F143" s="3"/>
      <c r="G143" s="5">
        <v>0</v>
      </c>
      <c r="H143" s="7">
        <v>39356.064847739901</v>
      </c>
    </row>
    <row r="144" spans="1:8" x14ac:dyDescent="0.3">
      <c r="A144" s="12" t="s">
        <v>383</v>
      </c>
      <c r="B144" s="3">
        <v>2017</v>
      </c>
      <c r="C144" s="5">
        <v>2440.6003661168593</v>
      </c>
      <c r="D144" s="5">
        <v>0</v>
      </c>
      <c r="E144" s="3"/>
      <c r="F144" s="3"/>
      <c r="G144" s="5">
        <v>299910.30920824502</v>
      </c>
      <c r="H144" s="7">
        <v>696527.61201626598</v>
      </c>
    </row>
    <row r="145" spans="1:8" x14ac:dyDescent="0.3">
      <c r="A145" s="12" t="s">
        <v>384</v>
      </c>
      <c r="B145" s="3">
        <v>2017</v>
      </c>
      <c r="C145" s="5">
        <v>4691.3714568854148</v>
      </c>
      <c r="D145" s="5">
        <v>288.02714427470494</v>
      </c>
      <c r="E145" s="3"/>
      <c r="F145" s="3"/>
      <c r="G145" s="5">
        <v>0</v>
      </c>
      <c r="H145" s="7">
        <v>45937.056464954498</v>
      </c>
    </row>
    <row r="146" spans="1:8" x14ac:dyDescent="0.3">
      <c r="A146" s="12" t="s">
        <v>385</v>
      </c>
      <c r="B146" s="3">
        <v>2017</v>
      </c>
      <c r="C146" s="5">
        <v>9651.6055351202358</v>
      </c>
      <c r="D146" s="5">
        <v>0</v>
      </c>
      <c r="E146" s="3"/>
      <c r="F146" s="3"/>
      <c r="G146" s="5">
        <v>0</v>
      </c>
      <c r="H146" s="7">
        <v>37411.921418999897</v>
      </c>
    </row>
    <row r="147" spans="1:8" x14ac:dyDescent="0.3">
      <c r="A147" s="12" t="s">
        <v>172</v>
      </c>
      <c r="B147" s="3">
        <v>2017</v>
      </c>
      <c r="C147" s="5">
        <v>4353.1447171694363</v>
      </c>
      <c r="D147" s="5">
        <v>2834.6587833623862</v>
      </c>
      <c r="E147" s="3"/>
      <c r="F147" s="3"/>
      <c r="G147" s="5">
        <v>49683.355730585899</v>
      </c>
      <c r="H147" s="7">
        <v>94264.883279662405</v>
      </c>
    </row>
    <row r="148" spans="1:8" x14ac:dyDescent="0.3">
      <c r="A148" s="12" t="s">
        <v>173</v>
      </c>
      <c r="B148" s="3">
        <v>2017</v>
      </c>
      <c r="C148" s="5">
        <v>2270.3922449397814</v>
      </c>
      <c r="D148" s="5">
        <v>125959.31899628053</v>
      </c>
      <c r="E148" s="3"/>
      <c r="F148" s="3"/>
      <c r="G148" s="5">
        <v>13837.814888561001</v>
      </c>
      <c r="H148" s="7">
        <v>79147.165252595907</v>
      </c>
    </row>
    <row r="149" spans="1:8" x14ac:dyDescent="0.3">
      <c r="A149" s="12" t="s">
        <v>174</v>
      </c>
      <c r="B149" s="3">
        <v>2017</v>
      </c>
      <c r="C149" s="5">
        <v>2884.5499628120388</v>
      </c>
      <c r="D149" s="5">
        <v>4214.631861748021</v>
      </c>
      <c r="E149" s="3"/>
      <c r="F149" s="3"/>
      <c r="G149" s="5">
        <v>32420.606217732598</v>
      </c>
      <c r="H149" s="7">
        <v>313732.03414351802</v>
      </c>
    </row>
    <row r="150" spans="1:8" x14ac:dyDescent="0.3">
      <c r="A150" s="12" t="s">
        <v>175</v>
      </c>
      <c r="B150" s="3">
        <v>2017</v>
      </c>
      <c r="C150" s="5">
        <v>9.2119640761316894</v>
      </c>
      <c r="D150" s="5">
        <v>0</v>
      </c>
      <c r="E150" s="3"/>
      <c r="F150" s="3"/>
      <c r="G150" s="5">
        <v>10277.164214591599</v>
      </c>
      <c r="H150" s="7">
        <v>166473.36983110601</v>
      </c>
    </row>
    <row r="151" spans="1:8" x14ac:dyDescent="0.3">
      <c r="A151" s="12" t="s">
        <v>176</v>
      </c>
      <c r="B151" s="3">
        <v>2017</v>
      </c>
      <c r="C151" s="5">
        <v>1923.033308541359</v>
      </c>
      <c r="D151" s="5">
        <v>0</v>
      </c>
      <c r="E151" s="3"/>
      <c r="F151" s="3"/>
      <c r="G151" s="5">
        <v>55200.470791104497</v>
      </c>
      <c r="H151" s="7">
        <v>220861.62755126</v>
      </c>
    </row>
    <row r="152" spans="1:8" x14ac:dyDescent="0.3">
      <c r="A152" s="12" t="s">
        <v>177</v>
      </c>
      <c r="B152" s="3">
        <v>2017</v>
      </c>
      <c r="C152" s="5">
        <v>0</v>
      </c>
      <c r="D152" s="5">
        <v>0</v>
      </c>
      <c r="E152" s="3"/>
      <c r="F152" s="3"/>
      <c r="G152" s="5">
        <v>78.532884300157306</v>
      </c>
      <c r="H152" s="7">
        <v>244990.06127034</v>
      </c>
    </row>
    <row r="153" spans="1:8" x14ac:dyDescent="0.3">
      <c r="A153" s="12" t="s">
        <v>178</v>
      </c>
      <c r="B153" s="3">
        <v>2017</v>
      </c>
      <c r="C153" s="5">
        <v>48.4446391297597</v>
      </c>
      <c r="D153" s="5">
        <v>0</v>
      </c>
      <c r="E153" s="3"/>
      <c r="F153" s="3"/>
      <c r="G153" s="5">
        <v>914.56412864393303</v>
      </c>
      <c r="H153" s="7">
        <v>49608.172814047997</v>
      </c>
    </row>
    <row r="154" spans="1:8" x14ac:dyDescent="0.3">
      <c r="A154" s="12" t="s">
        <v>386</v>
      </c>
      <c r="B154" s="3">
        <v>2017</v>
      </c>
      <c r="C154" s="5">
        <v>78504.484002733661</v>
      </c>
      <c r="D154" s="5">
        <v>0</v>
      </c>
      <c r="E154" s="3"/>
      <c r="F154" s="3"/>
      <c r="G154" s="5">
        <v>139235.31970426199</v>
      </c>
      <c r="H154" s="7">
        <v>128657.45752649</v>
      </c>
    </row>
    <row r="155" spans="1:8" x14ac:dyDescent="0.3">
      <c r="A155" s="12" t="s">
        <v>181</v>
      </c>
      <c r="B155" s="3">
        <v>2017</v>
      </c>
      <c r="C155" s="5">
        <v>4541.6191592800988</v>
      </c>
      <c r="D155" s="5">
        <v>0</v>
      </c>
      <c r="E155" s="3"/>
      <c r="F155" s="3"/>
      <c r="G155" s="5">
        <v>0</v>
      </c>
      <c r="H155" s="7">
        <v>101862.24696433501</v>
      </c>
    </row>
    <row r="156" spans="1:8" x14ac:dyDescent="0.3">
      <c r="A156" s="12" t="s">
        <v>182</v>
      </c>
      <c r="B156" s="3">
        <v>2017</v>
      </c>
      <c r="C156" s="5">
        <f>3.31*$C$3/10000</f>
        <v>33032.144999999997</v>
      </c>
      <c r="D156" s="5">
        <v>0</v>
      </c>
      <c r="E156" s="3" t="s">
        <v>231</v>
      </c>
      <c r="F156" s="3"/>
      <c r="G156" s="5">
        <v>39.445321185229503</v>
      </c>
      <c r="H156" s="7">
        <v>65756.881097246602</v>
      </c>
    </row>
    <row r="157" spans="1:8" x14ac:dyDescent="0.3">
      <c r="A157" s="12" t="s">
        <v>184</v>
      </c>
      <c r="B157" s="3">
        <v>2017</v>
      </c>
      <c r="C157" s="5">
        <v>107.82659450879919</v>
      </c>
      <c r="D157" s="5">
        <v>2646.7292385890364</v>
      </c>
      <c r="E157" s="3"/>
      <c r="F157" s="3"/>
      <c r="G157" s="5">
        <v>249.23783279093499</v>
      </c>
      <c r="H157" s="7">
        <v>325715.33636715298</v>
      </c>
    </row>
    <row r="158" spans="1:8" x14ac:dyDescent="0.3">
      <c r="A158" s="12" t="s">
        <v>185</v>
      </c>
      <c r="B158" s="3">
        <v>2017</v>
      </c>
      <c r="C158" s="5">
        <v>242.2221278414676</v>
      </c>
      <c r="D158" s="5">
        <v>0</v>
      </c>
      <c r="E158" s="3"/>
      <c r="F158" s="3"/>
      <c r="G158" s="5">
        <v>0</v>
      </c>
      <c r="H158" s="7">
        <v>17844.431964904899</v>
      </c>
    </row>
    <row r="159" spans="1:8" x14ac:dyDescent="0.3">
      <c r="A159" s="12" t="s">
        <v>387</v>
      </c>
      <c r="B159" s="3">
        <v>2017</v>
      </c>
      <c r="C159" s="5">
        <v>16033.547501700405</v>
      </c>
      <c r="D159" s="5">
        <v>62215.102840025094</v>
      </c>
      <c r="E159" s="3" t="s">
        <v>427</v>
      </c>
      <c r="F159" s="3"/>
      <c r="G159" s="5">
        <v>0</v>
      </c>
      <c r="H159" s="7">
        <v>47850.255485952999</v>
      </c>
    </row>
    <row r="160" spans="1:8" x14ac:dyDescent="0.3">
      <c r="A160" s="12" t="s">
        <v>188</v>
      </c>
      <c r="B160" s="3">
        <v>2017</v>
      </c>
      <c r="C160" s="5">
        <v>0</v>
      </c>
      <c r="D160" s="5">
        <v>12886.615710380729</v>
      </c>
      <c r="E160" s="3"/>
      <c r="F160" s="3"/>
      <c r="G160" s="5">
        <v>0</v>
      </c>
      <c r="H160" s="7">
        <v>183032.207796562</v>
      </c>
    </row>
    <row r="161" spans="1:8" x14ac:dyDescent="0.3">
      <c r="A161" s="12" t="s">
        <v>388</v>
      </c>
      <c r="B161" s="3">
        <v>2017</v>
      </c>
      <c r="C161" s="5">
        <v>25555.004691397597</v>
      </c>
      <c r="D161" s="5">
        <v>5762.9632669728126</v>
      </c>
      <c r="F161" s="3"/>
      <c r="G161" s="5">
        <v>0</v>
      </c>
      <c r="H161" s="7">
        <v>495071.54526497098</v>
      </c>
    </row>
    <row r="162" spans="1:8" x14ac:dyDescent="0.3">
      <c r="A162" s="12" t="s">
        <v>389</v>
      </c>
      <c r="B162" s="3">
        <v>2017</v>
      </c>
      <c r="C162" s="5">
        <v>21689.427886735539</v>
      </c>
      <c r="D162" s="5">
        <v>2298.2985844141813</v>
      </c>
      <c r="E162" s="3" t="s">
        <v>428</v>
      </c>
      <c r="F162" s="3"/>
      <c r="G162" s="5">
        <v>0</v>
      </c>
      <c r="H162" s="7">
        <v>105660.821122023</v>
      </c>
    </row>
    <row r="163" spans="1:8" x14ac:dyDescent="0.3">
      <c r="A163" s="12" t="s">
        <v>195</v>
      </c>
      <c r="B163" s="3">
        <v>2017</v>
      </c>
      <c r="C163" s="5">
        <v>19380.549037571902</v>
      </c>
      <c r="D163" s="5">
        <v>95.948714682993369</v>
      </c>
      <c r="E163" s="3"/>
      <c r="F163" s="3"/>
      <c r="G163" s="5">
        <v>5278.0050159622697</v>
      </c>
      <c r="H163" s="7">
        <v>116509.50862568599</v>
      </c>
    </row>
    <row r="164" spans="1:8" x14ac:dyDescent="0.3">
      <c r="A164" s="12" t="s">
        <v>390</v>
      </c>
      <c r="B164" s="3">
        <v>2017</v>
      </c>
      <c r="C164" s="5">
        <v>193.11498318956612</v>
      </c>
      <c r="D164" s="5">
        <v>1307.796402701734</v>
      </c>
      <c r="E164" s="3"/>
      <c r="F164" s="3" t="s">
        <v>234</v>
      </c>
      <c r="G164" s="5">
        <v>12555.9883808133</v>
      </c>
      <c r="H164" s="7">
        <v>611759.17745290697</v>
      </c>
    </row>
    <row r="165" spans="1:8" x14ac:dyDescent="0.3">
      <c r="A165" s="12" t="s">
        <v>391</v>
      </c>
      <c r="B165" s="3">
        <v>2017</v>
      </c>
      <c r="C165" s="5">
        <v>0</v>
      </c>
      <c r="D165" s="5">
        <v>91240.65560134816</v>
      </c>
      <c r="E165" s="3"/>
      <c r="F165" s="3"/>
      <c r="G165" s="5">
        <v>0</v>
      </c>
      <c r="H165" s="7">
        <v>156520.01076947001</v>
      </c>
    </row>
    <row r="166" spans="1:8" x14ac:dyDescent="0.3">
      <c r="A166" s="12" t="s">
        <v>199</v>
      </c>
      <c r="B166" s="3">
        <v>2017</v>
      </c>
      <c r="C166" s="5">
        <v>0</v>
      </c>
      <c r="D166" s="5">
        <v>20002.662455939444</v>
      </c>
      <c r="E166" s="3"/>
      <c r="F166" s="3"/>
      <c r="G166" s="5">
        <v>654528.98533950699</v>
      </c>
      <c r="H166" s="7">
        <v>36524.468595693797</v>
      </c>
    </row>
    <row r="167" spans="1:8" x14ac:dyDescent="0.3">
      <c r="A167" s="12" t="s">
        <v>201</v>
      </c>
      <c r="B167" s="3">
        <v>2017</v>
      </c>
      <c r="C167" s="5">
        <v>4192.7453062691484</v>
      </c>
      <c r="D167" s="5">
        <v>320.77497889418072</v>
      </c>
      <c r="F167" s="3"/>
      <c r="G167" s="5">
        <v>0</v>
      </c>
      <c r="H167" s="7">
        <v>241452.29205528501</v>
      </c>
    </row>
    <row r="168" spans="1:8" x14ac:dyDescent="0.3">
      <c r="A168" s="12" t="s">
        <v>202</v>
      </c>
      <c r="B168" s="3">
        <v>2017</v>
      </c>
      <c r="C168" s="5">
        <v>459.339143108217</v>
      </c>
      <c r="D168" s="5">
        <v>4745.4092506711904</v>
      </c>
      <c r="E168" s="3"/>
      <c r="F168" s="3"/>
      <c r="G168" s="5">
        <v>0</v>
      </c>
      <c r="H168" s="7">
        <v>477866.61420020898</v>
      </c>
    </row>
    <row r="169" spans="1:8" x14ac:dyDescent="0.3">
      <c r="A169" s="12" t="s">
        <v>392</v>
      </c>
      <c r="B169" s="3">
        <v>2017</v>
      </c>
      <c r="C169" s="5">
        <v>52.079871762324672</v>
      </c>
      <c r="D169" s="5">
        <v>1214.1340564254938</v>
      </c>
      <c r="E169" s="3"/>
      <c r="F169" s="3"/>
      <c r="G169" s="5">
        <v>20203213.297331899</v>
      </c>
      <c r="H169" s="7">
        <v>1602713.5001199101</v>
      </c>
    </row>
    <row r="170" spans="1:8" x14ac:dyDescent="0.3">
      <c r="A170" s="12" t="s">
        <v>204</v>
      </c>
      <c r="B170" s="3">
        <v>2017</v>
      </c>
      <c r="C170" s="5">
        <v>0</v>
      </c>
      <c r="D170" s="5">
        <v>2388.4587241510794</v>
      </c>
      <c r="E170" s="3"/>
      <c r="F170" s="3"/>
      <c r="G170" s="5">
        <v>0</v>
      </c>
      <c r="H170" s="7">
        <v>966922.21010539203</v>
      </c>
    </row>
    <row r="171" spans="1:8" x14ac:dyDescent="0.3">
      <c r="A171" s="12" t="s">
        <v>205</v>
      </c>
      <c r="B171" s="3">
        <v>2017</v>
      </c>
      <c r="C171" s="5">
        <v>28.490464381448142</v>
      </c>
      <c r="D171" s="5">
        <v>0</v>
      </c>
      <c r="E171" s="3"/>
      <c r="F171" s="3"/>
      <c r="G171" s="5">
        <v>78889.475855002005</v>
      </c>
      <c r="H171" s="7">
        <v>1338102.40316879</v>
      </c>
    </row>
    <row r="172" spans="1:8" x14ac:dyDescent="0.3">
      <c r="A172" s="12" t="s">
        <v>393</v>
      </c>
      <c r="B172" s="3">
        <v>2017</v>
      </c>
      <c r="C172" s="5">
        <v>13.635883597900886</v>
      </c>
      <c r="D172" s="5">
        <v>274.57539275247615</v>
      </c>
      <c r="E172" s="3"/>
      <c r="F172" s="3"/>
      <c r="G172" s="5">
        <v>617697.768802237</v>
      </c>
      <c r="H172" s="7">
        <v>64284.502495951601</v>
      </c>
    </row>
    <row r="173" spans="1:8" x14ac:dyDescent="0.3">
      <c r="A173" s="12" t="s">
        <v>394</v>
      </c>
      <c r="B173" s="3">
        <v>2017</v>
      </c>
      <c r="C173" s="5">
        <v>183.89946188111708</v>
      </c>
      <c r="D173" s="5">
        <v>1103.0245413312002</v>
      </c>
      <c r="E173" s="3"/>
      <c r="F173" s="3"/>
      <c r="G173" s="5">
        <v>0</v>
      </c>
      <c r="H173" s="7">
        <v>721057.06734295096</v>
      </c>
    </row>
    <row r="174" spans="1:8" x14ac:dyDescent="0.3">
      <c r="A174" s="12" t="s">
        <v>395</v>
      </c>
      <c r="B174" s="3">
        <v>2017</v>
      </c>
      <c r="C174" s="5">
        <v>0</v>
      </c>
      <c r="D174" s="5">
        <v>1073.0125302932229</v>
      </c>
      <c r="E174" s="3"/>
      <c r="F174" s="3"/>
      <c r="G174" s="5">
        <v>0</v>
      </c>
      <c r="H174" s="7">
        <v>217530.880966695</v>
      </c>
    </row>
    <row r="175" spans="1:8" x14ac:dyDescent="0.3">
      <c r="A175" s="12" t="s">
        <v>209</v>
      </c>
      <c r="B175" s="3">
        <v>2017</v>
      </c>
      <c r="C175" s="5">
        <v>15.359408732712792</v>
      </c>
      <c r="D175" s="5">
        <v>229.25522442027915</v>
      </c>
      <c r="E175" s="3"/>
      <c r="F175" s="3"/>
      <c r="G175" s="5">
        <v>0</v>
      </c>
      <c r="H175" s="7">
        <v>544237.31756832404</v>
      </c>
    </row>
    <row r="176" spans="1:8" x14ac:dyDescent="0.3">
      <c r="A176" s="12" t="s">
        <v>211</v>
      </c>
      <c r="B176" s="3">
        <v>2017</v>
      </c>
      <c r="C176" s="5">
        <v>13.900178391635167</v>
      </c>
      <c r="D176" s="5">
        <v>0</v>
      </c>
      <c r="E176" s="3"/>
      <c r="F176" s="3"/>
      <c r="G176" s="5">
        <v>0</v>
      </c>
      <c r="H176" s="7">
        <v>132909.216897562</v>
      </c>
    </row>
    <row r="177" spans="1:8" x14ac:dyDescent="0.3">
      <c r="A177" s="13" t="s">
        <v>396</v>
      </c>
      <c r="B177" s="3">
        <v>2017</v>
      </c>
      <c r="C177" s="5">
        <v>1396.769635933528</v>
      </c>
      <c r="D177" s="5">
        <v>0</v>
      </c>
      <c r="E177" s="3"/>
      <c r="F177" s="3"/>
      <c r="G177" s="5">
        <v>0</v>
      </c>
      <c r="H177" s="7">
        <v>45653.039750994198</v>
      </c>
    </row>
    <row r="178" spans="1:8" x14ac:dyDescent="0.3">
      <c r="A178" s="3"/>
      <c r="B178" s="3"/>
      <c r="C178" s="5"/>
      <c r="D178" s="5"/>
      <c r="E178" s="3"/>
      <c r="F178" s="3"/>
      <c r="G178" s="5">
        <v>0</v>
      </c>
      <c r="H178" s="7">
        <v>54346.3678643655</v>
      </c>
    </row>
    <row r="179" spans="1:8" x14ac:dyDescent="0.3">
      <c r="A179" s="3"/>
      <c r="B179" s="3"/>
      <c r="C179" s="5"/>
      <c r="D179" s="5"/>
      <c r="E179" s="3"/>
      <c r="F179" s="3"/>
      <c r="G179" s="5">
        <v>0</v>
      </c>
      <c r="H179" s="7">
        <v>142613.382678225</v>
      </c>
    </row>
    <row r="180" spans="1:8" x14ac:dyDescent="0.3">
      <c r="A180" s="3"/>
      <c r="B180" s="3"/>
      <c r="C180" s="5"/>
      <c r="D180" s="5"/>
      <c r="E180" s="3"/>
      <c r="F180" s="3"/>
      <c r="G180" s="5">
        <v>0</v>
      </c>
      <c r="H180" s="7">
        <v>312776.74108764302</v>
      </c>
    </row>
    <row r="181" spans="1:8" x14ac:dyDescent="0.3">
      <c r="A181" s="3"/>
      <c r="B181" s="3"/>
      <c r="C181" s="5"/>
      <c r="D181" s="5"/>
      <c r="E181" s="3"/>
      <c r="F181" s="3"/>
      <c r="G181" s="5">
        <v>0</v>
      </c>
      <c r="H181" s="7">
        <v>200039.37199111399</v>
      </c>
    </row>
    <row r="182" spans="1:8" x14ac:dyDescent="0.3">
      <c r="A182" s="3"/>
      <c r="B182" s="3"/>
      <c r="C182" s="5"/>
      <c r="D182" s="5"/>
      <c r="E182" s="3"/>
      <c r="F182" s="3"/>
      <c r="G182" s="5">
        <v>307915.211141743</v>
      </c>
      <c r="H182" s="7">
        <v>227941.574316966</v>
      </c>
    </row>
    <row r="183" spans="1:8" x14ac:dyDescent="0.3">
      <c r="A183" s="3"/>
      <c r="B183" s="3"/>
      <c r="C183" s="5"/>
      <c r="D183" s="5"/>
      <c r="E183" s="3"/>
      <c r="F183" s="3"/>
      <c r="G183" s="5">
        <v>0</v>
      </c>
      <c r="H183" s="7">
        <v>284285.58594795398</v>
      </c>
    </row>
    <row r="184" spans="1:8" x14ac:dyDescent="0.3">
      <c r="A184" s="3"/>
      <c r="B184" s="3"/>
      <c r="C184" s="5"/>
      <c r="D184" s="5"/>
      <c r="E184" s="3"/>
      <c r="F184" s="3"/>
      <c r="G184" s="5">
        <v>6691424.9548353897</v>
      </c>
      <c r="H184" s="7">
        <v>752832.77283760905</v>
      </c>
    </row>
    <row r="185" spans="1:8" x14ac:dyDescent="0.3">
      <c r="A185" s="3"/>
      <c r="B185" s="3"/>
      <c r="C185" s="5"/>
      <c r="D185" s="5"/>
      <c r="E185" s="3"/>
      <c r="F185" s="3"/>
      <c r="G185" s="5">
        <v>4318635.1268966896</v>
      </c>
      <c r="H185" s="7">
        <v>440713.77195773798</v>
      </c>
    </row>
    <row r="186" spans="1:8" x14ac:dyDescent="0.3">
      <c r="A186" s="3"/>
      <c r="B186" s="3"/>
      <c r="C186" s="5"/>
      <c r="D186" s="5"/>
      <c r="E186" s="3"/>
      <c r="F186" s="3"/>
      <c r="G186" s="5">
        <v>236230.28923630601</v>
      </c>
      <c r="H186" s="7">
        <v>75128.106367127402</v>
      </c>
    </row>
    <row r="187" spans="1:8" x14ac:dyDescent="0.3">
      <c r="A187" s="3"/>
      <c r="B187" s="3"/>
      <c r="C187" s="5"/>
      <c r="D187" s="5"/>
      <c r="E187" s="3"/>
      <c r="F187" s="3"/>
      <c r="G187" s="5">
        <v>1810564.7448046701</v>
      </c>
      <c r="H187" s="7">
        <v>87870.943438361297</v>
      </c>
    </row>
    <row r="188" spans="1:8" x14ac:dyDescent="0.3">
      <c r="A188" s="3"/>
      <c r="B188" s="3"/>
      <c r="C188" s="5"/>
      <c r="D188" s="5"/>
      <c r="E188" s="3"/>
      <c r="F188" s="3"/>
      <c r="G188" s="5">
        <v>86034.080166392407</v>
      </c>
      <c r="H188" s="7">
        <v>98806.918057231305</v>
      </c>
    </row>
    <row r="189" spans="1:8" x14ac:dyDescent="0.3">
      <c r="A189" s="3"/>
      <c r="B189" s="3"/>
      <c r="C189" s="5"/>
      <c r="D189" s="5"/>
      <c r="E189" s="3"/>
      <c r="F189" s="3"/>
      <c r="G189" s="5">
        <v>5968289.4670637399</v>
      </c>
      <c r="H189" s="7">
        <v>353840.28935537703</v>
      </c>
    </row>
    <row r="190" spans="1:8" x14ac:dyDescent="0.3">
      <c r="A190" s="3"/>
      <c r="B190" s="3"/>
      <c r="C190" s="5"/>
      <c r="D190" s="5"/>
      <c r="E190" s="3"/>
      <c r="F190" s="3"/>
      <c r="G190" s="5">
        <v>22316.294968126102</v>
      </c>
      <c r="H190" s="7">
        <v>2905.5969326443201</v>
      </c>
    </row>
    <row r="191" spans="1:8" x14ac:dyDescent="0.3">
      <c r="A191" s="3"/>
      <c r="B191" s="3"/>
      <c r="C191" s="5"/>
      <c r="D191" s="5"/>
      <c r="E191" s="3"/>
      <c r="F191" s="3"/>
      <c r="G191" s="5">
        <v>403892.20895049599</v>
      </c>
      <c r="H191" s="7">
        <v>45037.348601325401</v>
      </c>
    </row>
    <row r="192" spans="1:8" x14ac:dyDescent="0.3">
      <c r="A192" s="3"/>
      <c r="B192" s="3"/>
      <c r="C192" s="5"/>
      <c r="D192" s="5"/>
      <c r="E192" s="3"/>
      <c r="F192" s="3"/>
      <c r="G192" s="5">
        <v>174817.276299747</v>
      </c>
      <c r="H192" s="7">
        <v>45789.379776076697</v>
      </c>
    </row>
    <row r="193" spans="1:8" x14ac:dyDescent="0.3">
      <c r="A193" s="3"/>
      <c r="B193" s="3"/>
      <c r="C193" s="5"/>
      <c r="D193" s="5"/>
      <c r="E193" s="3"/>
      <c r="F193" s="3"/>
      <c r="G193" s="5">
        <v>150026.42189639801</v>
      </c>
      <c r="H193" s="7">
        <v>7912.9951940749197</v>
      </c>
    </row>
    <row r="194" spans="1:8" x14ac:dyDescent="0.3">
      <c r="A194" s="3"/>
      <c r="B194" s="3"/>
      <c r="C194" s="5"/>
      <c r="D194" s="5"/>
      <c r="E194" s="3"/>
      <c r="F194" s="3"/>
      <c r="G194" s="5">
        <v>10834.097108150399</v>
      </c>
      <c r="H194" s="7">
        <v>16853.639830573</v>
      </c>
    </row>
    <row r="195" spans="1:8" x14ac:dyDescent="0.3">
      <c r="A195" s="3"/>
      <c r="B195" s="3"/>
      <c r="C195" s="5"/>
      <c r="D195" s="5"/>
      <c r="E195" s="3"/>
      <c r="F195" s="3"/>
      <c r="G195" s="5">
        <v>720742.73661381297</v>
      </c>
      <c r="H195" s="7">
        <v>275024.243571495</v>
      </c>
    </row>
    <row r="196" spans="1:8" x14ac:dyDescent="0.3">
      <c r="A196" s="3"/>
      <c r="B196" s="3"/>
      <c r="C196" s="5"/>
      <c r="D196" s="5"/>
      <c r="E196" s="3"/>
      <c r="F196" s="3"/>
      <c r="G196" s="5">
        <v>316405.11560747301</v>
      </c>
      <c r="H196" s="7">
        <v>49922.368084846101</v>
      </c>
    </row>
    <row r="197" spans="1:8" x14ac:dyDescent="0.3">
      <c r="A197" s="3"/>
      <c r="B197" s="3"/>
      <c r="C197" s="5"/>
      <c r="D197" s="5"/>
      <c r="E197" s="3"/>
      <c r="F197" s="3"/>
      <c r="G197" s="5">
        <v>321912.31904138002</v>
      </c>
      <c r="H197" s="7">
        <v>64450.309973174597</v>
      </c>
    </row>
    <row r="198" spans="1:8" x14ac:dyDescent="0.3">
      <c r="A198" s="3"/>
      <c r="B198" s="3"/>
      <c r="C198" s="5"/>
      <c r="D198" s="5"/>
      <c r="E198" s="3"/>
      <c r="F198" s="3"/>
      <c r="G198" s="5">
        <v>740380.35624528897</v>
      </c>
      <c r="H198" s="7">
        <v>113770.322501852</v>
      </c>
    </row>
    <row r="199" spans="1:8" x14ac:dyDescent="0.3">
      <c r="A199" s="3"/>
      <c r="B199" s="3"/>
      <c r="C199" s="5"/>
      <c r="D199" s="5"/>
      <c r="E199" s="3"/>
      <c r="F199" s="3"/>
      <c r="G199" s="5">
        <v>138190.57765979599</v>
      </c>
      <c r="H199" s="7">
        <v>1207070.72193038</v>
      </c>
    </row>
    <row r="200" spans="1:8" x14ac:dyDescent="0.3">
      <c r="A200" s="3"/>
      <c r="B200" s="3"/>
      <c r="C200" s="5"/>
      <c r="D200" s="5"/>
      <c r="E200" s="3"/>
      <c r="F200" s="3"/>
      <c r="G200" s="5">
        <v>188487.79752912701</v>
      </c>
      <c r="H200" s="7">
        <v>37447301.008424997</v>
      </c>
    </row>
    <row r="201" spans="1:8" x14ac:dyDescent="0.3">
      <c r="A201" s="3"/>
      <c r="B201" s="3"/>
      <c r="C201" s="5"/>
      <c r="D201" s="5"/>
      <c r="E201" s="3"/>
      <c r="F201" s="3"/>
      <c r="G201" s="5">
        <v>8202.6738547168607</v>
      </c>
      <c r="H201" s="7">
        <v>731730.99659976503</v>
      </c>
    </row>
    <row r="202" spans="1:8" x14ac:dyDescent="0.3">
      <c r="A202" s="3"/>
      <c r="B202" s="3"/>
      <c r="C202" s="5"/>
      <c r="D202" s="5"/>
      <c r="E202" s="3"/>
      <c r="F202" s="3"/>
      <c r="G202" s="5">
        <v>893.71392175078404</v>
      </c>
      <c r="H202" s="7">
        <v>11330.4544096387</v>
      </c>
    </row>
    <row r="203" spans="1:8" x14ac:dyDescent="0.3">
      <c r="A203" s="3"/>
      <c r="B203" s="3"/>
      <c r="C203" s="5"/>
      <c r="D203" s="5"/>
      <c r="E203" s="3"/>
      <c r="F203" s="3"/>
      <c r="G203" s="5">
        <v>130693.32428924501</v>
      </c>
      <c r="H203" s="7">
        <v>643092.77207854902</v>
      </c>
    </row>
    <row r="204" spans="1:8" x14ac:dyDescent="0.3">
      <c r="A204" s="3"/>
      <c r="B204" s="3"/>
      <c r="C204" s="5"/>
      <c r="D204" s="5"/>
      <c r="E204" s="3"/>
      <c r="F204" s="3"/>
      <c r="G204" s="5">
        <v>0</v>
      </c>
      <c r="H204" s="7">
        <v>398992.801372719</v>
      </c>
    </row>
    <row r="205" spans="1:8" x14ac:dyDescent="0.3">
      <c r="A205" s="3"/>
      <c r="B205" s="3"/>
      <c r="C205" s="5"/>
      <c r="D205" s="5"/>
      <c r="E205" s="3"/>
      <c r="F205" s="3"/>
      <c r="G205" s="5">
        <v>2026.1585823918001</v>
      </c>
      <c r="H205" s="7">
        <v>552314.77299311105</v>
      </c>
    </row>
    <row r="206" spans="1:8" x14ac:dyDescent="0.3">
      <c r="A206" s="3"/>
      <c r="B206" s="3"/>
      <c r="C206" s="5"/>
      <c r="D206" s="5"/>
      <c r="E206" s="3"/>
      <c r="F206" s="3"/>
      <c r="G206" s="5">
        <v>3925643.0333170202</v>
      </c>
      <c r="H206" s="7">
        <v>439165.03986080101</v>
      </c>
    </row>
    <row r="207" spans="1:8" x14ac:dyDescent="0.3">
      <c r="A207" s="3"/>
      <c r="B207" s="3"/>
      <c r="C207" s="5"/>
      <c r="D207" s="5"/>
      <c r="E207" s="3"/>
      <c r="F207" s="3"/>
      <c r="G207" s="5">
        <v>574840.751624875</v>
      </c>
      <c r="H207" s="7">
        <v>65586.735823707204</v>
      </c>
    </row>
    <row r="208" spans="1:8" x14ac:dyDescent="0.3">
      <c r="A208" s="3"/>
      <c r="B208" s="3"/>
      <c r="C208" s="5"/>
      <c r="D208" s="5"/>
      <c r="E208" s="3"/>
      <c r="F208" s="3"/>
      <c r="G208" s="5">
        <v>999180.25895902398</v>
      </c>
      <c r="H208" s="7">
        <v>78953.425618102206</v>
      </c>
    </row>
    <row r="209" spans="1:8" x14ac:dyDescent="0.3">
      <c r="A209" s="3"/>
      <c r="B209" s="3"/>
      <c r="C209" s="5"/>
      <c r="D209" s="5"/>
      <c r="F209" s="3"/>
      <c r="G209" s="5">
        <v>1612764.9823282501</v>
      </c>
      <c r="H209" s="7">
        <v>215138.13347008699</v>
      </c>
    </row>
    <row r="210" spans="1:8" x14ac:dyDescent="0.3">
      <c r="A210" s="3"/>
      <c r="B210" s="3"/>
      <c r="C210" s="5"/>
      <c r="D210" s="5"/>
      <c r="F210" s="3"/>
      <c r="G210" s="5">
        <v>2476581.8855772</v>
      </c>
      <c r="H210" s="7">
        <v>72990.848139554902</v>
      </c>
    </row>
    <row r="211" spans="1:8" x14ac:dyDescent="0.3">
      <c r="A211" s="3"/>
      <c r="B211" s="3"/>
      <c r="C211" s="5"/>
      <c r="D211" s="5"/>
      <c r="F211" s="3"/>
      <c r="G211" s="5">
        <v>2904.7611109570098</v>
      </c>
      <c r="H211" s="7">
        <v>2850219.4088608501</v>
      </c>
    </row>
    <row r="212" spans="1:8" x14ac:dyDescent="0.3">
      <c r="A212" s="3"/>
      <c r="B212" s="3"/>
      <c r="C212" s="5"/>
      <c r="D212" s="5"/>
      <c r="F212" s="3"/>
      <c r="G212" s="5">
        <v>6533.2492840220102</v>
      </c>
      <c r="H212" s="7">
        <v>209172.53300268701</v>
      </c>
    </row>
    <row r="213" spans="1:8" x14ac:dyDescent="0.3">
      <c r="A213" s="3"/>
      <c r="B213" s="3"/>
      <c r="C213" s="5"/>
      <c r="D213" s="5"/>
      <c r="F213" s="3"/>
      <c r="G213" s="5">
        <v>633281.19139468996</v>
      </c>
      <c r="H213" s="7">
        <v>10015982.2452308</v>
      </c>
    </row>
    <row r="214" spans="1:8" x14ac:dyDescent="0.3">
      <c r="A214" s="3"/>
      <c r="B214" s="3"/>
      <c r="C214" s="5"/>
      <c r="D214" s="5"/>
      <c r="F214" s="3"/>
      <c r="G214" s="5">
        <v>1991650.43611785</v>
      </c>
      <c r="H214" s="7">
        <v>12026857.943725999</v>
      </c>
    </row>
    <row r="215" spans="1:8" x14ac:dyDescent="0.3">
      <c r="A215" s="3"/>
      <c r="B215" s="3"/>
      <c r="C215" s="5"/>
      <c r="D215" s="5"/>
      <c r="F215" s="3"/>
      <c r="G215" s="5">
        <v>0</v>
      </c>
      <c r="H215" s="7">
        <v>406693.25986277498</v>
      </c>
    </row>
    <row r="216" spans="1:8" x14ac:dyDescent="0.3">
      <c r="A216" s="3"/>
      <c r="B216" s="3"/>
      <c r="C216" s="5"/>
      <c r="D216" s="5"/>
      <c r="F216" s="3"/>
      <c r="G216" s="5">
        <v>0</v>
      </c>
      <c r="H216" s="7">
        <v>82168.993959666594</v>
      </c>
    </row>
    <row r="217" spans="1:8" x14ac:dyDescent="0.3">
      <c r="A217" s="3"/>
      <c r="B217" s="3"/>
      <c r="C217" s="5"/>
      <c r="D217" s="5"/>
      <c r="F217" s="3"/>
      <c r="G217" s="5">
        <v>495754.970733992</v>
      </c>
      <c r="H217" s="7">
        <v>102773.74818197099</v>
      </c>
    </row>
    <row r="218" spans="1:8" x14ac:dyDescent="0.3">
      <c r="A218" s="3"/>
      <c r="B218" s="3"/>
      <c r="C218" s="5"/>
      <c r="D218" s="5"/>
      <c r="F218" s="3"/>
      <c r="G218" s="5">
        <v>146344.87202353799</v>
      </c>
      <c r="H218" s="7">
        <v>250434.43689618001</v>
      </c>
    </row>
    <row r="219" spans="1:8" x14ac:dyDescent="0.3">
      <c r="A219" s="3"/>
      <c r="B219" s="3"/>
      <c r="C219" s="5"/>
      <c r="D219" s="5"/>
      <c r="F219" s="3"/>
      <c r="G219" s="5">
        <v>0</v>
      </c>
      <c r="H219" s="7">
        <v>87095.688125549306</v>
      </c>
    </row>
    <row r="220" spans="1:8" x14ac:dyDescent="0.3">
      <c r="A220" s="3"/>
      <c r="B220" s="3"/>
      <c r="C220" s="5"/>
      <c r="D220" s="5"/>
      <c r="F220" s="3"/>
      <c r="G220" s="5">
        <v>1142339.83161736</v>
      </c>
      <c r="H220" s="7">
        <v>808966.35336079099</v>
      </c>
    </row>
    <row r="221" spans="1:8" x14ac:dyDescent="0.3">
      <c r="A221" s="3"/>
      <c r="B221" s="3"/>
      <c r="C221" s="5"/>
      <c r="D221" s="5"/>
      <c r="F221" s="3"/>
      <c r="G221" s="5">
        <v>0</v>
      </c>
      <c r="H221" s="7">
        <v>414520.09136138199</v>
      </c>
    </row>
    <row r="222" spans="1:8" x14ac:dyDescent="0.3">
      <c r="A222" s="3"/>
      <c r="B222" s="3"/>
      <c r="C222" s="5"/>
      <c r="D222" s="5"/>
      <c r="F222" s="3"/>
      <c r="G222" s="5">
        <v>1564456.67249195</v>
      </c>
      <c r="H222" s="7">
        <v>32616.863446192001</v>
      </c>
    </row>
    <row r="223" spans="1:8" x14ac:dyDescent="0.3">
      <c r="A223" s="3"/>
      <c r="B223" s="3"/>
      <c r="C223" s="5"/>
      <c r="D223" s="5"/>
      <c r="F223" s="3"/>
      <c r="G223" s="5">
        <v>134313.05336409001</v>
      </c>
      <c r="H223" s="7">
        <v>442486.38793704897</v>
      </c>
    </row>
    <row r="224" spans="1:8" x14ac:dyDescent="0.3">
      <c r="A224" s="3"/>
      <c r="B224" s="3"/>
      <c r="C224" s="5"/>
      <c r="D224" s="5"/>
      <c r="F224" s="3"/>
      <c r="G224" s="5">
        <v>120612.55969445901</v>
      </c>
      <c r="H224" s="7">
        <v>10571809.192452</v>
      </c>
    </row>
    <row r="225" spans="1:8" x14ac:dyDescent="0.3">
      <c r="A225" s="3"/>
      <c r="B225" s="3"/>
      <c r="C225" s="5"/>
      <c r="D225" s="5"/>
      <c r="F225" s="3"/>
      <c r="G225" s="5">
        <v>111654.919723089</v>
      </c>
      <c r="H225" s="7">
        <v>1283810.25029663</v>
      </c>
    </row>
    <row r="226" spans="1:8" x14ac:dyDescent="0.3">
      <c r="A226" s="3"/>
      <c r="B226" s="3"/>
      <c r="C226" s="5"/>
      <c r="D226" s="5"/>
      <c r="F226" s="3"/>
      <c r="G226" s="5">
        <v>0</v>
      </c>
      <c r="H226" s="7">
        <v>8006217.1207307</v>
      </c>
    </row>
    <row r="227" spans="1:8" x14ac:dyDescent="0.3">
      <c r="A227" s="3"/>
      <c r="B227" s="3"/>
      <c r="C227" s="5"/>
      <c r="D227" s="5"/>
      <c r="F227" s="3"/>
      <c r="G227" s="5">
        <v>226065.87347518801</v>
      </c>
      <c r="H227" s="7">
        <v>83187.988976296998</v>
      </c>
    </row>
    <row r="228" spans="1:8" x14ac:dyDescent="0.3">
      <c r="A228" s="3"/>
      <c r="B228" s="3"/>
      <c r="C228" s="5"/>
      <c r="D228" s="5"/>
      <c r="F228" s="3"/>
      <c r="G228" s="5">
        <v>157998.72532784301</v>
      </c>
      <c r="H228" s="7">
        <v>243749.48633192299</v>
      </c>
    </row>
    <row r="229" spans="1:8" x14ac:dyDescent="0.3">
      <c r="A229" s="3"/>
      <c r="B229" s="3"/>
      <c r="C229" s="5"/>
      <c r="D229" s="5"/>
      <c r="F229" s="3"/>
      <c r="G229" s="5">
        <v>259300.47632163501</v>
      </c>
      <c r="H229" s="7">
        <v>7692010.24050433</v>
      </c>
    </row>
    <row r="230" spans="1:8" x14ac:dyDescent="0.3">
      <c r="A230" s="3"/>
      <c r="B230" s="3"/>
      <c r="C230" s="5"/>
      <c r="D230" s="5"/>
      <c r="F230" s="3"/>
      <c r="G230" s="5">
        <v>3964.95500949915</v>
      </c>
      <c r="H230" s="7">
        <v>1667321.1155238899</v>
      </c>
    </row>
    <row r="231" spans="1:8" x14ac:dyDescent="0.3">
      <c r="A231" s="3"/>
      <c r="B231" s="3"/>
      <c r="C231" s="5"/>
      <c r="D231" s="5"/>
      <c r="F231" s="3"/>
      <c r="G231" s="5">
        <v>0</v>
      </c>
      <c r="H231" s="7">
        <v>738411.48600003798</v>
      </c>
    </row>
    <row r="232" spans="1:8" x14ac:dyDescent="0.3">
      <c r="A232" s="3"/>
      <c r="B232" s="3"/>
      <c r="C232" s="5"/>
      <c r="D232" s="5"/>
      <c r="F232" s="3"/>
      <c r="G232" s="5">
        <v>3501.59977746799</v>
      </c>
      <c r="H232" s="7">
        <v>29597.332374164002</v>
      </c>
    </row>
    <row r="233" spans="1:8" x14ac:dyDescent="0.3">
      <c r="A233" s="3"/>
      <c r="B233" s="3"/>
      <c r="C233" s="5"/>
      <c r="D233" s="5"/>
      <c r="F233" s="3"/>
      <c r="G233" s="5">
        <v>106.991074079802</v>
      </c>
      <c r="H233" s="7">
        <v>35492.543098732502</v>
      </c>
    </row>
    <row r="234" spans="1:8" x14ac:dyDescent="0.3">
      <c r="A234" s="3"/>
      <c r="B234" s="3"/>
      <c r="C234" s="5"/>
      <c r="D234" s="5"/>
      <c r="F234" s="3"/>
      <c r="G234" s="5">
        <v>22755.6794286273</v>
      </c>
      <c r="H234" s="7">
        <v>323656.506419143</v>
      </c>
    </row>
    <row r="235" spans="1:8" x14ac:dyDescent="0.3">
      <c r="A235" s="3"/>
      <c r="B235" s="3"/>
      <c r="C235" s="5"/>
      <c r="D235" s="5"/>
      <c r="F235" s="3"/>
      <c r="G235" s="5">
        <v>0</v>
      </c>
      <c r="H235" s="7">
        <v>61827.701956079</v>
      </c>
    </row>
    <row r="236" spans="1:8" x14ac:dyDescent="0.3">
      <c r="A236" s="3"/>
      <c r="B236" s="3"/>
      <c r="C236" s="5"/>
      <c r="D236" s="5"/>
      <c r="F236" s="3"/>
      <c r="G236" s="5">
        <v>990.12097875306904</v>
      </c>
      <c r="H236" s="7">
        <v>3803528.11614078</v>
      </c>
    </row>
    <row r="237" spans="1:8" x14ac:dyDescent="0.3">
      <c r="A237" s="3"/>
      <c r="B237" s="3"/>
      <c r="C237" s="5"/>
      <c r="D237" s="5"/>
      <c r="F237" s="3"/>
      <c r="G237" s="5">
        <v>74773.424346859698</v>
      </c>
      <c r="H237" s="7">
        <v>3054594.3456747099</v>
      </c>
    </row>
    <row r="238" spans="1:8" x14ac:dyDescent="0.3">
      <c r="A238" s="3"/>
      <c r="B238" s="3"/>
      <c r="C238" s="5"/>
      <c r="D238" s="5"/>
      <c r="F238" s="3"/>
      <c r="G238" s="5">
        <v>1383.36355234046</v>
      </c>
      <c r="H238" s="7">
        <v>15288.0688425999</v>
      </c>
    </row>
    <row r="239" spans="1:8" x14ac:dyDescent="0.3">
      <c r="A239" s="3"/>
      <c r="B239" s="3"/>
      <c r="C239" s="5"/>
      <c r="D239" s="5"/>
      <c r="F239" s="3"/>
      <c r="G239" s="5">
        <v>2472.4946435533102</v>
      </c>
      <c r="H239" s="7">
        <v>81239.329318414006</v>
      </c>
    </row>
  </sheetData>
  <autoFilter ref="A1:H239" xr:uid="{00000000-0001-0000-0000-000000000000}"/>
  <phoneticPr fontId="1" type="noConversion"/>
  <conditionalFormatting sqref="H94:H112">
    <cfRule type="cellIs" dxfId="1" priority="1" operator="lessThan">
      <formula>0</formula>
    </cfRule>
  </conditionalFormatting>
  <hyperlinks>
    <hyperlink ref="D16" r:id="rId1" display="http://stats.customs.gov.cn/" xr:uid="{9E2511CD-C3F4-471C-ACD3-C2FF29AFC954}"/>
    <hyperlink ref="D17:D19" r:id="rId2" display="http://stats.customs.gov.cn/" xr:uid="{749B3986-1D1F-4DF6-85A5-7579C11C940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81CF-1155-4572-B6F0-F4DD2A1F43D7}">
  <dimension ref="A1:H239"/>
  <sheetViews>
    <sheetView tabSelected="1" zoomScale="85" zoomScaleNormal="85" workbookViewId="0">
      <pane xSplit="1" topLeftCell="B1" activePane="topRight" state="frozen"/>
      <selection activeCell="A10" sqref="A10"/>
      <selection pane="topRight" activeCell="B26" sqref="B26"/>
    </sheetView>
  </sheetViews>
  <sheetFormatPr defaultColWidth="12.58203125" defaultRowHeight="14" x14ac:dyDescent="0.3"/>
  <cols>
    <col min="1" max="1" width="47.08203125" customWidth="1"/>
    <col min="3" max="3" width="34.83203125" style="4" customWidth="1"/>
    <col min="4" max="4" width="12.58203125" style="4"/>
    <col min="5" max="6" width="121.75" style="4" customWidth="1"/>
  </cols>
  <sheetData>
    <row r="1" spans="1:6" s="1" customFormat="1" x14ac:dyDescent="0.3">
      <c r="A1" s="2" t="s">
        <v>0</v>
      </c>
      <c r="B1" s="2" t="s">
        <v>3</v>
      </c>
      <c r="C1" s="2" t="s">
        <v>1</v>
      </c>
      <c r="D1" s="2" t="s">
        <v>2</v>
      </c>
      <c r="E1" s="2" t="s">
        <v>220</v>
      </c>
      <c r="F1" s="2" t="s">
        <v>221</v>
      </c>
    </row>
    <row r="2" spans="1:6" x14ac:dyDescent="0.3">
      <c r="A2" s="3" t="s">
        <v>260</v>
      </c>
      <c r="B2" s="3">
        <v>2012</v>
      </c>
      <c r="C2" s="6">
        <v>652.83999999999992</v>
      </c>
      <c r="D2" s="3" t="s">
        <v>213</v>
      </c>
      <c r="E2" s="3"/>
      <c r="F2" s="3"/>
    </row>
    <row r="3" spans="1:6" ht="56" x14ac:dyDescent="0.3">
      <c r="A3" s="3" t="s">
        <v>257</v>
      </c>
      <c r="B3" s="3">
        <v>2012</v>
      </c>
      <c r="C3" s="6">
        <v>107805000</v>
      </c>
      <c r="D3" s="3" t="s">
        <v>256</v>
      </c>
      <c r="E3" s="3" t="s">
        <v>316</v>
      </c>
      <c r="F3" s="3"/>
    </row>
    <row r="4" spans="1:6" x14ac:dyDescent="0.3">
      <c r="A4" s="3" t="s">
        <v>261</v>
      </c>
      <c r="B4" s="3">
        <v>2012</v>
      </c>
      <c r="C4" s="6">
        <f>C2*C3</f>
        <v>70379416199.999985</v>
      </c>
      <c r="D4" s="3" t="s">
        <v>4</v>
      </c>
      <c r="E4" s="3" t="s">
        <v>5</v>
      </c>
      <c r="F4" s="3"/>
    </row>
    <row r="5" spans="1:6" ht="28" x14ac:dyDescent="0.3">
      <c r="A5" s="3" t="s">
        <v>265</v>
      </c>
      <c r="B5" s="3">
        <v>2012</v>
      </c>
      <c r="C5" s="8">
        <v>4694045796597.5098</v>
      </c>
      <c r="D5" s="3" t="s">
        <v>267</v>
      </c>
      <c r="E5" s="3" t="s">
        <v>325</v>
      </c>
      <c r="F5" s="3"/>
    </row>
    <row r="6" spans="1:6" x14ac:dyDescent="0.3">
      <c r="A6" s="3" t="s">
        <v>270</v>
      </c>
      <c r="B6" s="3">
        <v>2012</v>
      </c>
      <c r="C6" s="9">
        <f>C4/C5</f>
        <v>1.4993338209655873E-2</v>
      </c>
      <c r="D6" s="3" t="s">
        <v>4</v>
      </c>
      <c r="E6" s="3"/>
      <c r="F6" s="3"/>
    </row>
    <row r="7" spans="1:6" ht="28" x14ac:dyDescent="0.3">
      <c r="A7" s="3" t="s">
        <v>266</v>
      </c>
      <c r="B7" s="3">
        <v>2012</v>
      </c>
      <c r="C7" s="6">
        <v>788722098672.21899</v>
      </c>
      <c r="D7" s="3" t="s">
        <v>267</v>
      </c>
      <c r="E7" s="3"/>
      <c r="F7" s="3"/>
    </row>
    <row r="8" spans="1:6" ht="28" x14ac:dyDescent="0.3">
      <c r="A8" s="3" t="s">
        <v>323</v>
      </c>
      <c r="B8" s="3">
        <v>2012</v>
      </c>
      <c r="C8" s="6">
        <v>56705200000</v>
      </c>
      <c r="D8" s="3" t="s">
        <v>423</v>
      </c>
      <c r="E8" s="3" t="s">
        <v>424</v>
      </c>
      <c r="F8" s="3"/>
    </row>
    <row r="9" spans="1:6" x14ac:dyDescent="0.3">
      <c r="A9" s="3" t="s">
        <v>271</v>
      </c>
      <c r="B9" s="3">
        <v>2012</v>
      </c>
      <c r="C9" s="9">
        <f>C8/C7</f>
        <v>7.1895031336716514E-2</v>
      </c>
      <c r="D9" s="3" t="s">
        <v>4</v>
      </c>
      <c r="E9" s="3"/>
      <c r="F9" s="3"/>
    </row>
    <row r="10" spans="1:6" ht="56" x14ac:dyDescent="0.3">
      <c r="A10" s="3" t="s">
        <v>282</v>
      </c>
      <c r="B10" s="3">
        <v>2012</v>
      </c>
      <c r="C10" s="9" t="s">
        <v>319</v>
      </c>
      <c r="D10" s="3" t="s">
        <v>318</v>
      </c>
      <c r="E10" s="3" t="s">
        <v>293</v>
      </c>
      <c r="F10" s="3"/>
    </row>
    <row r="11" spans="1:6" x14ac:dyDescent="0.3">
      <c r="A11" s="3" t="s">
        <v>287</v>
      </c>
      <c r="B11" s="3">
        <v>2012</v>
      </c>
      <c r="C11" s="9">
        <f>444.33*C3/10000</f>
        <v>4790099.5650000004</v>
      </c>
      <c r="D11" s="3" t="s">
        <v>213</v>
      </c>
      <c r="E11" s="3" t="s">
        <v>283</v>
      </c>
      <c r="F11" s="3"/>
    </row>
    <row r="12" spans="1:6" ht="28" x14ac:dyDescent="0.3">
      <c r="A12" s="3" t="s">
        <v>290</v>
      </c>
      <c r="B12" s="3">
        <v>2012</v>
      </c>
      <c r="C12" s="9" t="s">
        <v>430</v>
      </c>
      <c r="D12" s="3" t="s">
        <v>289</v>
      </c>
      <c r="E12" s="3" t="s">
        <v>285</v>
      </c>
      <c r="F12" s="3"/>
    </row>
    <row r="13" spans="1:6" x14ac:dyDescent="0.3">
      <c r="A13" s="3" t="s">
        <v>286</v>
      </c>
      <c r="B13" s="3">
        <v>2012</v>
      </c>
      <c r="C13" s="9">
        <f>4.22*C3/10000</f>
        <v>45493.71</v>
      </c>
      <c r="D13" s="3" t="s">
        <v>213</v>
      </c>
      <c r="E13" s="3" t="s">
        <v>284</v>
      </c>
      <c r="F13" s="3"/>
    </row>
    <row r="14" spans="1:6" ht="28" x14ac:dyDescent="0.3">
      <c r="A14" s="3" t="s">
        <v>288</v>
      </c>
      <c r="B14" s="3">
        <v>2012</v>
      </c>
      <c r="C14" s="9" t="s">
        <v>430</v>
      </c>
      <c r="D14" s="3" t="s">
        <v>289</v>
      </c>
      <c r="E14" s="3" t="s">
        <v>300</v>
      </c>
      <c r="F14" s="3"/>
    </row>
    <row r="15" spans="1:6" x14ac:dyDescent="0.3">
      <c r="A15" s="3" t="s">
        <v>291</v>
      </c>
      <c r="B15" s="3">
        <v>2012</v>
      </c>
      <c r="C15" s="9" t="s">
        <v>430</v>
      </c>
      <c r="D15" s="3" t="s">
        <v>292</v>
      </c>
      <c r="E15" s="3" t="s">
        <v>301</v>
      </c>
      <c r="F15" s="3"/>
    </row>
    <row r="16" spans="1:6" x14ac:dyDescent="0.3">
      <c r="A16" s="3" t="s">
        <v>295</v>
      </c>
      <c r="B16" s="3">
        <v>2012</v>
      </c>
      <c r="C16" s="16" t="s">
        <v>433</v>
      </c>
      <c r="D16" s="10" t="s">
        <v>294</v>
      </c>
      <c r="E16" s="3" t="s">
        <v>297</v>
      </c>
      <c r="F16" s="3"/>
    </row>
    <row r="17" spans="1:8" x14ac:dyDescent="0.3">
      <c r="A17" s="3" t="s">
        <v>296</v>
      </c>
      <c r="B17" s="3">
        <v>2012</v>
      </c>
      <c r="C17" s="16" t="s">
        <v>431</v>
      </c>
      <c r="D17" s="10" t="s">
        <v>294</v>
      </c>
      <c r="E17" s="3"/>
      <c r="F17" s="3"/>
    </row>
    <row r="18" spans="1:8" x14ac:dyDescent="0.3">
      <c r="A18" s="3" t="s">
        <v>308</v>
      </c>
      <c r="B18" s="3">
        <v>2012</v>
      </c>
      <c r="C18" s="16" t="s">
        <v>431</v>
      </c>
      <c r="D18" s="10" t="s">
        <v>294</v>
      </c>
      <c r="E18" s="3" t="s">
        <v>317</v>
      </c>
      <c r="F18" s="3"/>
    </row>
    <row r="19" spans="1:8" x14ac:dyDescent="0.3">
      <c r="A19" s="3" t="s">
        <v>309</v>
      </c>
      <c r="B19" s="3">
        <v>2012</v>
      </c>
      <c r="C19" s="16" t="s">
        <v>431</v>
      </c>
      <c r="D19" s="10" t="s">
        <v>294</v>
      </c>
      <c r="E19" s="3"/>
      <c r="F19" s="3"/>
    </row>
    <row r="20" spans="1:8" x14ac:dyDescent="0.3">
      <c r="A20" s="3" t="s">
        <v>298</v>
      </c>
      <c r="B20" s="3">
        <v>2012</v>
      </c>
      <c r="C20" s="9"/>
      <c r="D20" t="s">
        <v>302</v>
      </c>
      <c r="E20" s="3"/>
      <c r="F20" s="3"/>
    </row>
    <row r="21" spans="1:8" x14ac:dyDescent="0.3">
      <c r="A21" s="3" t="s">
        <v>299</v>
      </c>
      <c r="B21" s="3">
        <v>2012</v>
      </c>
      <c r="C21" s="9"/>
      <c r="D21" t="s">
        <v>302</v>
      </c>
      <c r="E21" s="3"/>
      <c r="F21" s="3"/>
    </row>
    <row r="22" spans="1:8" x14ac:dyDescent="0.3">
      <c r="A22" s="3" t="s">
        <v>312</v>
      </c>
      <c r="B22" s="3">
        <v>2012</v>
      </c>
      <c r="C22" s="9"/>
      <c r="D22" t="s">
        <v>313</v>
      </c>
      <c r="E22" s="3" t="s">
        <v>314</v>
      </c>
      <c r="F22" s="3"/>
    </row>
    <row r="23" spans="1:8" x14ac:dyDescent="0.3">
      <c r="A23" s="3" t="s">
        <v>307</v>
      </c>
      <c r="B23" s="3">
        <v>2012</v>
      </c>
      <c r="C23" s="9"/>
      <c r="D23" t="s">
        <v>302</v>
      </c>
      <c r="E23" s="4" t="s">
        <v>303</v>
      </c>
      <c r="F23" s="3"/>
    </row>
    <row r="24" spans="1:8" x14ac:dyDescent="0.3">
      <c r="A24" s="3" t="s">
        <v>306</v>
      </c>
      <c r="B24" s="3">
        <v>2012</v>
      </c>
      <c r="C24" s="9"/>
      <c r="D24" t="s">
        <v>304</v>
      </c>
      <c r="E24" s="4" t="s">
        <v>305</v>
      </c>
      <c r="F24" s="3"/>
    </row>
    <row r="25" spans="1:8" x14ac:dyDescent="0.3">
      <c r="A25" s="3" t="s">
        <v>311</v>
      </c>
      <c r="B25" s="3">
        <v>2012</v>
      </c>
      <c r="C25" s="9"/>
      <c r="D25" t="s">
        <v>302</v>
      </c>
      <c r="E25" s="4" t="s">
        <v>310</v>
      </c>
      <c r="F25" s="3"/>
    </row>
    <row r="26" spans="1:8" s="1" customFormat="1" ht="56" x14ac:dyDescent="0.3">
      <c r="A26" s="2" t="s">
        <v>275</v>
      </c>
      <c r="B26" s="3">
        <v>2012</v>
      </c>
      <c r="C26" s="2" t="s">
        <v>262</v>
      </c>
      <c r="D26" s="2" t="s">
        <v>263</v>
      </c>
      <c r="E26" s="2"/>
      <c r="F26" s="2"/>
      <c r="G26" s="1" t="s">
        <v>273</v>
      </c>
      <c r="H26" s="1" t="s">
        <v>274</v>
      </c>
    </row>
    <row r="27" spans="1:8" x14ac:dyDescent="0.3">
      <c r="A27" s="14" t="s">
        <v>397</v>
      </c>
      <c r="B27" s="3">
        <v>2012</v>
      </c>
      <c r="C27">
        <v>0</v>
      </c>
      <c r="D27" s="5">
        <v>0</v>
      </c>
      <c r="E27" s="3"/>
      <c r="F27" s="3"/>
      <c r="G27" s="5"/>
      <c r="H27" s="7"/>
    </row>
    <row r="28" spans="1:8" x14ac:dyDescent="0.3">
      <c r="A28" s="14" t="s">
        <v>425</v>
      </c>
      <c r="B28" s="3">
        <v>2012</v>
      </c>
      <c r="C28" s="15">
        <v>744506.8983779418</v>
      </c>
      <c r="D28" s="5">
        <v>744506.8983779418</v>
      </c>
      <c r="E28" s="3"/>
      <c r="F28" s="3"/>
      <c r="G28" s="5"/>
      <c r="H28" s="7"/>
    </row>
    <row r="29" spans="1:8" x14ac:dyDescent="0.3">
      <c r="A29" s="14" t="s">
        <v>7</v>
      </c>
      <c r="B29" s="3">
        <v>2012</v>
      </c>
      <c r="C29" s="15">
        <v>132.00514129013786</v>
      </c>
      <c r="D29" s="5">
        <v>4933.6255903592373</v>
      </c>
      <c r="F29" s="3"/>
      <c r="G29" s="5"/>
      <c r="H29" s="7"/>
    </row>
    <row r="30" spans="1:8" x14ac:dyDescent="0.3">
      <c r="A30" s="14" t="s">
        <v>327</v>
      </c>
      <c r="B30" s="3">
        <v>2012</v>
      </c>
      <c r="C30" s="5">
        <f>14.51*$C$3/10000</f>
        <v>156425.05499999999</v>
      </c>
      <c r="D30" s="5">
        <v>415397.01320333441</v>
      </c>
      <c r="E30" s="3" t="s">
        <v>276</v>
      </c>
      <c r="F30" s="3"/>
      <c r="G30" s="5"/>
      <c r="H30" s="7"/>
    </row>
    <row r="31" spans="1:8" x14ac:dyDescent="0.3">
      <c r="A31" s="14" t="s">
        <v>328</v>
      </c>
      <c r="B31" s="3">
        <v>2012</v>
      </c>
      <c r="C31" s="15">
        <v>1.3303958033048304</v>
      </c>
      <c r="D31" s="5">
        <v>38328.335996011374</v>
      </c>
      <c r="F31" s="3"/>
      <c r="G31" s="5"/>
      <c r="H31" s="7"/>
    </row>
    <row r="32" spans="1:8" x14ac:dyDescent="0.3">
      <c r="A32" s="14" t="s">
        <v>398</v>
      </c>
      <c r="B32" s="3">
        <v>2012</v>
      </c>
      <c r="C32" s="5">
        <f>(17.49+41.23+3.21-2.48)*$C$3/10000</f>
        <v>640900.72499999998</v>
      </c>
      <c r="D32" s="5">
        <v>41893.917678550722</v>
      </c>
      <c r="E32" s="3" t="s">
        <v>228</v>
      </c>
      <c r="F32" s="3"/>
      <c r="G32" s="5"/>
      <c r="H32" s="7"/>
    </row>
    <row r="33" spans="1:8" x14ac:dyDescent="0.3">
      <c r="A33" s="14" t="s">
        <v>399</v>
      </c>
      <c r="B33" s="3">
        <v>2012</v>
      </c>
      <c r="C33" s="15">
        <v>252.73759024347223</v>
      </c>
      <c r="D33" s="5">
        <v>0</v>
      </c>
      <c r="E33" s="3"/>
      <c r="F33" s="3"/>
      <c r="G33" s="5"/>
      <c r="H33" s="7"/>
    </row>
    <row r="34" spans="1:8" x14ac:dyDescent="0.3">
      <c r="A34" s="14" t="s">
        <v>329</v>
      </c>
      <c r="B34" s="3">
        <v>2012</v>
      </c>
      <c r="C34" s="15">
        <v>0</v>
      </c>
      <c r="D34" s="5">
        <v>0</v>
      </c>
      <c r="E34" s="3"/>
      <c r="F34" s="3"/>
      <c r="G34" s="5"/>
      <c r="H34" s="7"/>
    </row>
    <row r="35" spans="1:8" x14ac:dyDescent="0.3">
      <c r="A35" s="14" t="s">
        <v>16</v>
      </c>
      <c r="B35" s="3">
        <v>2012</v>
      </c>
      <c r="C35" s="15">
        <v>0</v>
      </c>
      <c r="D35" s="5">
        <v>0</v>
      </c>
      <c r="F35" s="3"/>
      <c r="G35" s="5"/>
      <c r="H35" s="7"/>
    </row>
    <row r="36" spans="1:8" x14ac:dyDescent="0.3">
      <c r="A36" s="14" t="s">
        <v>17</v>
      </c>
      <c r="B36" s="3">
        <v>2012</v>
      </c>
      <c r="C36" s="15">
        <v>0</v>
      </c>
      <c r="D36" s="5">
        <v>0</v>
      </c>
      <c r="E36" s="3"/>
      <c r="F36" s="3"/>
      <c r="G36" s="5"/>
      <c r="H36" s="7"/>
    </row>
    <row r="37" spans="1:8" x14ac:dyDescent="0.3">
      <c r="A37" s="14" t="s">
        <v>330</v>
      </c>
      <c r="B37" s="3">
        <v>2012</v>
      </c>
      <c r="C37" s="15">
        <v>5.0662968605047958</v>
      </c>
      <c r="D37" s="5">
        <v>6.9093036990746279E-5</v>
      </c>
      <c r="E37" s="3"/>
      <c r="F37" s="3"/>
      <c r="G37" s="5"/>
      <c r="H37" s="7"/>
    </row>
    <row r="38" spans="1:8" x14ac:dyDescent="0.3">
      <c r="A38" s="14" t="s">
        <v>400</v>
      </c>
      <c r="B38" s="3">
        <v>2012</v>
      </c>
      <c r="C38" s="15">
        <v>0</v>
      </c>
      <c r="D38" s="5">
        <v>0</v>
      </c>
      <c r="E38" s="3"/>
      <c r="F38" s="3"/>
      <c r="G38" s="5"/>
      <c r="H38" s="7"/>
    </row>
    <row r="39" spans="1:8" x14ac:dyDescent="0.3">
      <c r="A39" s="14" t="s">
        <v>21</v>
      </c>
      <c r="B39" s="3">
        <v>2012</v>
      </c>
      <c r="C39" s="15">
        <v>11447.409207994506</v>
      </c>
      <c r="D39" s="5">
        <v>956897.86203200556</v>
      </c>
      <c r="E39" s="3"/>
      <c r="F39" s="3"/>
      <c r="G39" s="5"/>
      <c r="H39" s="7"/>
    </row>
    <row r="40" spans="1:8" x14ac:dyDescent="0.3">
      <c r="A40" s="14" t="s">
        <v>22</v>
      </c>
      <c r="B40" s="3">
        <v>2012</v>
      </c>
      <c r="C40" s="15">
        <v>7238.3266270045497</v>
      </c>
      <c r="D40" s="5">
        <v>482793.52002726478</v>
      </c>
      <c r="E40" s="3"/>
      <c r="F40" s="3"/>
      <c r="G40" s="5"/>
      <c r="H40" s="7"/>
    </row>
    <row r="41" spans="1:8" x14ac:dyDescent="0.3">
      <c r="A41" s="14" t="s">
        <v>401</v>
      </c>
      <c r="B41" s="3">
        <v>2012</v>
      </c>
      <c r="C41">
        <v>0</v>
      </c>
      <c r="D41" s="5">
        <v>0</v>
      </c>
      <c r="E41" s="3"/>
      <c r="F41" s="3"/>
      <c r="G41" s="5"/>
      <c r="H41" s="7"/>
    </row>
    <row r="42" spans="1:8" x14ac:dyDescent="0.3">
      <c r="A42" s="14" t="s">
        <v>426</v>
      </c>
      <c r="B42" s="3">
        <v>2012</v>
      </c>
      <c r="C42" s="15">
        <v>432.44215838109494</v>
      </c>
      <c r="D42" s="5">
        <v>2713876.4110447615</v>
      </c>
      <c r="E42" s="3"/>
      <c r="F42" s="3"/>
      <c r="G42" s="5"/>
      <c r="H42" s="7"/>
    </row>
    <row r="43" spans="1:8" x14ac:dyDescent="0.3">
      <c r="A43" s="14" t="s">
        <v>23</v>
      </c>
      <c r="B43" s="3">
        <v>2012</v>
      </c>
      <c r="C43" s="15">
        <v>0</v>
      </c>
      <c r="D43" s="5">
        <v>82519.015595056975</v>
      </c>
      <c r="E43" s="3"/>
      <c r="F43" s="3"/>
      <c r="G43" s="5"/>
      <c r="H43" s="7"/>
    </row>
    <row r="44" spans="1:8" x14ac:dyDescent="0.3">
      <c r="A44" s="14" t="s">
        <v>24</v>
      </c>
      <c r="B44" s="3">
        <v>2012</v>
      </c>
      <c r="C44" s="15">
        <v>0</v>
      </c>
      <c r="D44" s="5">
        <v>22369.134383987675</v>
      </c>
      <c r="E44" s="3"/>
      <c r="F44" s="3"/>
      <c r="G44" s="5"/>
      <c r="H44" s="7"/>
    </row>
    <row r="45" spans="1:8" x14ac:dyDescent="0.3">
      <c r="A45" s="14" t="s">
        <v>25</v>
      </c>
      <c r="B45" s="3">
        <v>2012</v>
      </c>
      <c r="C45" s="15">
        <v>0</v>
      </c>
      <c r="D45" s="5">
        <v>753.24971237196939</v>
      </c>
      <c r="E45" s="3"/>
      <c r="F45" s="3"/>
      <c r="G45" s="5"/>
      <c r="H45" s="7"/>
    </row>
    <row r="46" spans="1:8" x14ac:dyDescent="0.3">
      <c r="A46" s="14" t="s">
        <v>402</v>
      </c>
      <c r="B46" s="3">
        <v>2012</v>
      </c>
      <c r="C46" s="15">
        <v>0</v>
      </c>
      <c r="D46" s="5">
        <v>469888.10952293879</v>
      </c>
      <c r="E46" s="3"/>
      <c r="F46" s="3"/>
      <c r="G46" s="5"/>
      <c r="H46" s="7"/>
    </row>
    <row r="47" spans="1:8" x14ac:dyDescent="0.3">
      <c r="A47" s="14" t="s">
        <v>28</v>
      </c>
      <c r="B47" s="3">
        <v>2012</v>
      </c>
      <c r="C47" s="15">
        <v>0</v>
      </c>
      <c r="D47" s="5">
        <v>21083.383612547725</v>
      </c>
      <c r="E47" s="3"/>
      <c r="F47" s="3"/>
      <c r="G47" s="5"/>
      <c r="H47" s="7"/>
    </row>
    <row r="48" spans="1:8" x14ac:dyDescent="0.3">
      <c r="A48" s="14" t="s">
        <v>29</v>
      </c>
      <c r="B48" s="3">
        <v>2012</v>
      </c>
      <c r="C48" s="15">
        <v>0</v>
      </c>
      <c r="D48" s="5">
        <v>6327.6598256732104</v>
      </c>
      <c r="E48" s="3"/>
      <c r="F48" s="3"/>
      <c r="G48" s="5"/>
      <c r="H48" s="7"/>
    </row>
    <row r="49" spans="1:8" x14ac:dyDescent="0.3">
      <c r="A49" s="14" t="s">
        <v>30</v>
      </c>
      <c r="B49" s="3">
        <v>2012</v>
      </c>
      <c r="C49" s="15">
        <v>0</v>
      </c>
      <c r="D49" s="5">
        <v>73471.834372745376</v>
      </c>
      <c r="E49" s="3"/>
      <c r="F49" s="3"/>
      <c r="G49" s="5"/>
      <c r="H49" s="7"/>
    </row>
    <row r="50" spans="1:8" x14ac:dyDescent="0.3">
      <c r="A50" s="14" t="s">
        <v>31</v>
      </c>
      <c r="B50" s="3">
        <v>2012</v>
      </c>
      <c r="C50" s="15">
        <v>0</v>
      </c>
      <c r="D50" s="5">
        <v>150597.65420451053</v>
      </c>
      <c r="E50" s="3"/>
      <c r="F50" s="3"/>
      <c r="G50" s="5"/>
      <c r="H50" s="7"/>
    </row>
    <row r="51" spans="1:8" x14ac:dyDescent="0.3">
      <c r="A51" s="14" t="s">
        <v>32</v>
      </c>
      <c r="B51" s="3">
        <v>2012</v>
      </c>
      <c r="C51" s="15">
        <v>152.69298750381051</v>
      </c>
      <c r="D51" s="5">
        <v>150746.54629930932</v>
      </c>
      <c r="E51" s="3"/>
      <c r="F51" s="3"/>
      <c r="G51" s="5"/>
      <c r="H51" s="7"/>
    </row>
    <row r="52" spans="1:8" x14ac:dyDescent="0.3">
      <c r="A52" s="14" t="s">
        <v>403</v>
      </c>
      <c r="B52" s="3">
        <v>2012</v>
      </c>
      <c r="C52" s="15">
        <v>25.630585376076279</v>
      </c>
      <c r="D52" s="5">
        <v>86163.37373076567</v>
      </c>
      <c r="E52" s="3"/>
      <c r="F52" s="3"/>
      <c r="G52" s="5"/>
      <c r="H52" s="7"/>
    </row>
    <row r="53" spans="1:8" x14ac:dyDescent="0.3">
      <c r="A53" s="14" t="s">
        <v>35</v>
      </c>
      <c r="B53" s="3">
        <v>2012</v>
      </c>
      <c r="C53" s="15">
        <v>0</v>
      </c>
      <c r="D53" s="5">
        <v>73166.012322183829</v>
      </c>
      <c r="E53" s="3"/>
      <c r="F53" s="3"/>
      <c r="G53" s="5"/>
      <c r="H53" s="7"/>
    </row>
    <row r="54" spans="1:8" x14ac:dyDescent="0.3">
      <c r="A54" s="14" t="s">
        <v>339</v>
      </c>
      <c r="B54" s="3">
        <v>2012</v>
      </c>
      <c r="C54" s="15">
        <v>13.635857851749696</v>
      </c>
      <c r="D54" s="5">
        <v>565536.80275548389</v>
      </c>
      <c r="E54" s="3"/>
      <c r="F54" s="3"/>
      <c r="G54" s="5"/>
      <c r="H54" s="7"/>
    </row>
    <row r="55" spans="1:8" x14ac:dyDescent="0.3">
      <c r="A55" s="14" t="s">
        <v>37</v>
      </c>
      <c r="B55" s="3">
        <v>2012</v>
      </c>
      <c r="C55" s="15">
        <v>0</v>
      </c>
      <c r="D55" s="5">
        <v>4766.7488553650774</v>
      </c>
      <c r="E55" s="3"/>
      <c r="F55" s="3"/>
      <c r="G55" s="5"/>
      <c r="H55" s="7"/>
    </row>
    <row r="56" spans="1:8" x14ac:dyDescent="0.3">
      <c r="A56" s="14" t="s">
        <v>38</v>
      </c>
      <c r="B56" s="3">
        <v>2012</v>
      </c>
      <c r="C56" s="15">
        <v>0</v>
      </c>
      <c r="D56" s="5">
        <v>42669.226771815775</v>
      </c>
      <c r="E56" s="3"/>
      <c r="F56" s="3"/>
      <c r="G56" s="5"/>
      <c r="H56" s="7"/>
    </row>
    <row r="57" spans="1:8" x14ac:dyDescent="0.3">
      <c r="A57" s="14" t="s">
        <v>404</v>
      </c>
      <c r="B57" s="3">
        <v>2012</v>
      </c>
      <c r="C57" s="15">
        <v>18.510347051660865</v>
      </c>
      <c r="D57" s="5">
        <v>1790.4308247756496</v>
      </c>
      <c r="E57" s="3"/>
      <c r="F57" s="3"/>
      <c r="G57" s="5"/>
      <c r="H57" s="7"/>
    </row>
    <row r="58" spans="1:8" x14ac:dyDescent="0.3">
      <c r="A58" s="14" t="s">
        <v>340</v>
      </c>
      <c r="B58" s="3">
        <v>2012</v>
      </c>
      <c r="C58" s="15">
        <v>1.8398218239391988</v>
      </c>
      <c r="D58" s="5">
        <v>2031.1986918449406</v>
      </c>
      <c r="E58" s="3"/>
      <c r="F58" s="3"/>
      <c r="G58" s="5"/>
      <c r="H58" s="7"/>
    </row>
    <row r="59" spans="1:8" x14ac:dyDescent="0.3">
      <c r="A59" s="14" t="s">
        <v>341</v>
      </c>
      <c r="B59" s="3">
        <v>2012</v>
      </c>
      <c r="C59" s="15">
        <v>3.3411512850860619</v>
      </c>
      <c r="D59" s="5">
        <v>8231.1715962754952</v>
      </c>
      <c r="E59" s="3"/>
      <c r="F59" s="3"/>
      <c r="G59" s="5"/>
      <c r="H59" s="7"/>
    </row>
    <row r="60" spans="1:8" x14ac:dyDescent="0.3">
      <c r="A60" s="14" t="s">
        <v>46</v>
      </c>
      <c r="B60" s="3">
        <v>2012</v>
      </c>
      <c r="C60" s="15">
        <v>7.6200738070656859</v>
      </c>
      <c r="D60" s="5">
        <v>1047.9170963731935</v>
      </c>
      <c r="E60" s="3"/>
      <c r="F60" s="3"/>
      <c r="G60" s="5"/>
      <c r="H60" s="7"/>
    </row>
    <row r="61" spans="1:8" x14ac:dyDescent="0.3">
      <c r="A61" s="14" t="s">
        <v>47</v>
      </c>
      <c r="B61" s="3">
        <v>2012</v>
      </c>
      <c r="C61" s="15">
        <v>0</v>
      </c>
      <c r="D61" s="5">
        <v>870.94513984546074</v>
      </c>
      <c r="E61" s="3"/>
      <c r="F61" s="3"/>
      <c r="G61" s="5"/>
      <c r="H61" s="7"/>
    </row>
    <row r="62" spans="1:8" x14ac:dyDescent="0.3">
      <c r="A62" s="14" t="s">
        <v>405</v>
      </c>
      <c r="B62" s="3">
        <v>2012</v>
      </c>
      <c r="C62" s="15">
        <v>146.48612315990374</v>
      </c>
      <c r="D62" s="5">
        <v>39124.616721346152</v>
      </c>
      <c r="E62" s="3"/>
      <c r="F62" s="3"/>
      <c r="G62" s="5"/>
      <c r="H62" s="7"/>
    </row>
    <row r="63" spans="1:8" x14ac:dyDescent="0.3">
      <c r="A63" s="14" t="s">
        <v>51</v>
      </c>
      <c r="B63" s="3">
        <v>2012</v>
      </c>
      <c r="C63" s="15">
        <v>167.55345210748121</v>
      </c>
      <c r="D63" s="5">
        <v>2844.8194388939942</v>
      </c>
      <c r="E63" s="3"/>
      <c r="F63" s="3"/>
      <c r="G63" s="5"/>
      <c r="H63" s="7"/>
    </row>
    <row r="64" spans="1:8" x14ac:dyDescent="0.3">
      <c r="A64" s="14" t="s">
        <v>406</v>
      </c>
      <c r="B64" s="3">
        <v>2012</v>
      </c>
      <c r="C64" s="15">
        <v>108.41158539084293</v>
      </c>
      <c r="D64" s="5">
        <v>94815.320119291966</v>
      </c>
      <c r="E64" s="3"/>
      <c r="F64" s="3"/>
      <c r="G64" s="5"/>
      <c r="H64" s="7"/>
    </row>
    <row r="65" spans="1:8" x14ac:dyDescent="0.3">
      <c r="A65" s="14" t="s">
        <v>407</v>
      </c>
      <c r="B65" s="3">
        <v>2012</v>
      </c>
      <c r="C65" s="15">
        <v>75.557192279402955</v>
      </c>
      <c r="D65" s="5">
        <v>0</v>
      </c>
      <c r="E65" s="3"/>
      <c r="F65" s="3"/>
      <c r="G65" s="5"/>
      <c r="H65" s="7"/>
    </row>
    <row r="66" spans="1:8" x14ac:dyDescent="0.3">
      <c r="A66" s="14" t="s">
        <v>408</v>
      </c>
      <c r="B66" s="3">
        <v>2012</v>
      </c>
      <c r="C66" s="15">
        <v>9.6721251752459807</v>
      </c>
      <c r="D66" s="5">
        <v>11647.881484226407</v>
      </c>
      <c r="E66" s="3"/>
      <c r="F66" s="3"/>
      <c r="G66" s="5"/>
      <c r="H66" s="7"/>
    </row>
    <row r="67" spans="1:8" x14ac:dyDescent="0.3">
      <c r="A67" s="14" t="s">
        <v>57</v>
      </c>
      <c r="B67" s="3">
        <v>2012</v>
      </c>
      <c r="C67" s="15">
        <v>156196.13569935749</v>
      </c>
      <c r="D67" s="5">
        <v>0</v>
      </c>
      <c r="E67" s="3"/>
      <c r="F67" s="3"/>
      <c r="G67" s="5"/>
      <c r="H67" s="7"/>
    </row>
    <row r="68" spans="1:8" x14ac:dyDescent="0.3">
      <c r="A68" s="14" t="s">
        <v>409</v>
      </c>
      <c r="B68" s="3">
        <v>2012</v>
      </c>
      <c r="C68" s="15">
        <v>0</v>
      </c>
      <c r="D68" s="5">
        <v>0</v>
      </c>
      <c r="F68" s="3"/>
      <c r="G68" s="5"/>
      <c r="H68" s="7"/>
    </row>
    <row r="69" spans="1:8" x14ac:dyDescent="0.3">
      <c r="A69" s="14" t="s">
        <v>59</v>
      </c>
      <c r="B69" s="3">
        <v>2012</v>
      </c>
      <c r="C69" s="15">
        <v>7.4809072513132513</v>
      </c>
      <c r="D69" s="5">
        <v>17762.884629071585</v>
      </c>
      <c r="F69" s="3"/>
      <c r="G69" s="5"/>
      <c r="H69" s="7"/>
    </row>
    <row r="70" spans="1:8" x14ac:dyDescent="0.3">
      <c r="A70" s="14" t="s">
        <v>60</v>
      </c>
      <c r="B70" s="3">
        <v>2012</v>
      </c>
      <c r="C70" s="5">
        <f>(86.38+10.11)*$C$3/10000</f>
        <v>1040210.4449999999</v>
      </c>
      <c r="D70" s="5">
        <v>8953.0479811992245</v>
      </c>
      <c r="E70" s="3" t="s">
        <v>277</v>
      </c>
      <c r="F70" s="3"/>
      <c r="G70" s="5"/>
      <c r="H70" s="7"/>
    </row>
    <row r="71" spans="1:8" x14ac:dyDescent="0.3">
      <c r="A71" s="14" t="s">
        <v>61</v>
      </c>
      <c r="B71" s="3">
        <v>2012</v>
      </c>
      <c r="C71" s="5">
        <f>12.56*$C$3/10000</f>
        <v>135403.07999999999</v>
      </c>
      <c r="D71" s="5">
        <v>3607.9386923264551</v>
      </c>
      <c r="E71" s="3" t="s">
        <v>224</v>
      </c>
      <c r="F71" s="3"/>
      <c r="G71" s="5"/>
      <c r="H71" s="7"/>
    </row>
    <row r="72" spans="1:8" x14ac:dyDescent="0.3">
      <c r="A72" s="14" t="s">
        <v>62</v>
      </c>
      <c r="B72" s="3">
        <v>2012</v>
      </c>
      <c r="C72" s="15">
        <v>2.9810448152054758</v>
      </c>
      <c r="D72" s="5">
        <v>2013.4222461350162</v>
      </c>
      <c r="F72" s="3"/>
      <c r="G72" s="5"/>
      <c r="H72" s="7"/>
    </row>
    <row r="73" spans="1:8" x14ac:dyDescent="0.3">
      <c r="A73" s="14" t="s">
        <v>63</v>
      </c>
      <c r="B73" s="3">
        <v>2012</v>
      </c>
      <c r="C73" s="15">
        <v>15.299602564514245</v>
      </c>
      <c r="D73" s="5">
        <v>1240.7380863312958</v>
      </c>
      <c r="F73" s="3"/>
      <c r="G73" s="5"/>
      <c r="H73" s="7"/>
    </row>
    <row r="74" spans="1:8" x14ac:dyDescent="0.3">
      <c r="A74" s="14" t="s">
        <v>64</v>
      </c>
      <c r="B74" s="3">
        <v>2012</v>
      </c>
      <c r="C74" s="15">
        <v>4.6444960125127981</v>
      </c>
      <c r="D74" s="5">
        <v>16717.115156779844</v>
      </c>
      <c r="E74" s="3"/>
      <c r="F74" s="3"/>
      <c r="G74" s="5"/>
      <c r="H74" s="7"/>
    </row>
    <row r="75" spans="1:8" x14ac:dyDescent="0.3">
      <c r="A75" s="14" t="s">
        <v>65</v>
      </c>
      <c r="B75" s="3">
        <v>2012</v>
      </c>
      <c r="C75" s="15">
        <v>35.549486527134526</v>
      </c>
      <c r="D75" s="5">
        <v>6721.8934909251748</v>
      </c>
      <c r="E75" s="3"/>
      <c r="F75" s="3"/>
      <c r="G75" s="5"/>
      <c r="H75" s="7"/>
    </row>
    <row r="76" spans="1:8" x14ac:dyDescent="0.3">
      <c r="A76" s="14" t="s">
        <v>350</v>
      </c>
      <c r="B76" s="3">
        <v>2012</v>
      </c>
      <c r="C76" s="15">
        <v>29.469096840955739</v>
      </c>
      <c r="D76" s="5">
        <v>211898.38806164925</v>
      </c>
      <c r="E76" s="3"/>
      <c r="F76" s="3"/>
      <c r="G76" s="5"/>
      <c r="H76" s="7"/>
    </row>
    <row r="77" spans="1:8" x14ac:dyDescent="0.3">
      <c r="A77" s="14" t="s">
        <v>70</v>
      </c>
      <c r="B77" s="3">
        <v>2012</v>
      </c>
      <c r="C77" s="15">
        <v>98.968022859741339</v>
      </c>
      <c r="D77" s="5">
        <v>4692.4279392797143</v>
      </c>
      <c r="E77" s="3"/>
      <c r="F77" s="3"/>
      <c r="G77" s="5"/>
      <c r="H77" s="7"/>
    </row>
    <row r="78" spans="1:8" x14ac:dyDescent="0.3">
      <c r="A78" s="14" t="s">
        <v>351</v>
      </c>
      <c r="B78" s="3">
        <v>2012</v>
      </c>
      <c r="C78" s="15">
        <v>63.081891553808063</v>
      </c>
      <c r="D78" s="5">
        <v>2008.5057450341508</v>
      </c>
      <c r="E78" s="3"/>
      <c r="F78" s="3"/>
      <c r="G78" s="5"/>
      <c r="H78" s="7"/>
    </row>
    <row r="79" spans="1:8" x14ac:dyDescent="0.3">
      <c r="A79" s="14" t="s">
        <v>352</v>
      </c>
      <c r="B79" s="3">
        <v>2012</v>
      </c>
      <c r="C79" s="15">
        <v>97844.184817980567</v>
      </c>
      <c r="D79" s="5">
        <v>139.67066643624648</v>
      </c>
      <c r="E79" s="3"/>
      <c r="F79" s="3"/>
      <c r="G79" s="5"/>
      <c r="H79" s="7"/>
    </row>
    <row r="80" spans="1:8" x14ac:dyDescent="0.3">
      <c r="A80" s="14" t="s">
        <v>76</v>
      </c>
      <c r="B80" s="3">
        <v>2012</v>
      </c>
      <c r="C80" s="15">
        <v>41.309802734530535</v>
      </c>
      <c r="D80" s="5">
        <v>0.19291254505884664</v>
      </c>
      <c r="E80" s="3"/>
      <c r="F80" s="3"/>
      <c r="G80" s="5"/>
      <c r="H80" s="7"/>
    </row>
    <row r="81" spans="1:8" x14ac:dyDescent="0.3">
      <c r="A81" s="14" t="s">
        <v>77</v>
      </c>
      <c r="B81" s="3">
        <v>2012</v>
      </c>
      <c r="C81" s="15">
        <v>32.427540865682012</v>
      </c>
      <c r="D81" s="5">
        <v>3.9234103449067317</v>
      </c>
      <c r="E81" s="3"/>
      <c r="F81" s="3"/>
      <c r="G81" s="5"/>
      <c r="H81" s="7"/>
    </row>
    <row r="82" spans="1:8" x14ac:dyDescent="0.3">
      <c r="A82" s="14" t="s">
        <v>78</v>
      </c>
      <c r="B82" s="3">
        <v>2012</v>
      </c>
      <c r="C82" s="15">
        <v>80.633771684865565</v>
      </c>
      <c r="D82" s="5">
        <v>0</v>
      </c>
      <c r="E82" s="3"/>
      <c r="F82" s="3"/>
      <c r="G82" s="5"/>
      <c r="H82" s="7"/>
    </row>
    <row r="83" spans="1:8" x14ac:dyDescent="0.3">
      <c r="A83" s="14" t="s">
        <v>353</v>
      </c>
      <c r="B83" s="3">
        <v>2012</v>
      </c>
      <c r="C83" s="15">
        <v>29.21168810807017</v>
      </c>
      <c r="D83" s="5">
        <v>2.7817856890911492</v>
      </c>
      <c r="E83" s="3"/>
      <c r="F83" s="3"/>
      <c r="G83" s="5"/>
      <c r="H83" s="7"/>
    </row>
    <row r="84" spans="1:8" x14ac:dyDescent="0.3">
      <c r="A84" s="14" t="s">
        <v>354</v>
      </c>
      <c r="B84" s="3">
        <v>2012</v>
      </c>
      <c r="C84" s="15">
        <v>63.49791027972099</v>
      </c>
      <c r="D84" s="5">
        <v>57.45725856581447</v>
      </c>
      <c r="E84" s="3"/>
      <c r="F84" s="3"/>
      <c r="G84" s="5"/>
      <c r="H84" s="7"/>
    </row>
    <row r="85" spans="1:8" x14ac:dyDescent="0.3">
      <c r="A85" s="14" t="s">
        <v>83</v>
      </c>
      <c r="B85" s="3">
        <v>2012</v>
      </c>
      <c r="C85" s="15">
        <v>41.494030315997627</v>
      </c>
      <c r="D85" s="5">
        <v>13.140599919050995</v>
      </c>
      <c r="F85" s="3"/>
      <c r="G85" s="5"/>
      <c r="H85" s="7"/>
    </row>
    <row r="86" spans="1:8" x14ac:dyDescent="0.3">
      <c r="A86" s="14" t="s">
        <v>355</v>
      </c>
      <c r="B86" s="3">
        <v>2012</v>
      </c>
      <c r="C86" s="15">
        <v>75.676306530242172</v>
      </c>
      <c r="D86" s="5">
        <v>16.442169703922094</v>
      </c>
      <c r="F86" s="3"/>
      <c r="G86" s="5"/>
      <c r="H86" s="7"/>
    </row>
    <row r="87" spans="1:8" x14ac:dyDescent="0.3">
      <c r="A87" s="14" t="s">
        <v>410</v>
      </c>
      <c r="B87" s="3">
        <v>2012</v>
      </c>
      <c r="C87" s="15">
        <v>0</v>
      </c>
      <c r="D87" s="5">
        <v>0</v>
      </c>
      <c r="E87" s="3"/>
      <c r="F87" s="3"/>
      <c r="G87" s="5"/>
      <c r="H87" s="7"/>
    </row>
    <row r="88" spans="1:8" x14ac:dyDescent="0.3">
      <c r="A88" s="14" t="s">
        <v>86</v>
      </c>
      <c r="B88" s="3">
        <v>2012</v>
      </c>
      <c r="C88" s="15">
        <v>21.154319815644953</v>
      </c>
      <c r="D88" s="5">
        <v>19.320738524856129</v>
      </c>
      <c r="E88" s="3"/>
      <c r="F88" s="3"/>
      <c r="G88" s="5"/>
      <c r="H88" s="7"/>
    </row>
    <row r="89" spans="1:8" x14ac:dyDescent="0.3">
      <c r="A89" s="14" t="s">
        <v>411</v>
      </c>
      <c r="B89" s="3">
        <v>2012</v>
      </c>
      <c r="C89" s="15">
        <v>0.2063940666871977</v>
      </c>
      <c r="D89" s="5">
        <v>25.609594362613237</v>
      </c>
      <c r="E89" s="3"/>
      <c r="F89" s="3"/>
      <c r="G89" s="5"/>
      <c r="H89" s="7"/>
    </row>
    <row r="90" spans="1:8" x14ac:dyDescent="0.3">
      <c r="A90" s="14" t="s">
        <v>412</v>
      </c>
      <c r="B90" s="3">
        <v>2012</v>
      </c>
      <c r="C90" s="15">
        <v>0.68440316197068451</v>
      </c>
      <c r="D90" s="5">
        <v>20.863936530695849</v>
      </c>
      <c r="E90" s="3"/>
      <c r="F90" s="3"/>
      <c r="G90" s="5"/>
      <c r="H90" s="7"/>
    </row>
    <row r="91" spans="1:8" x14ac:dyDescent="0.3">
      <c r="A91" s="14" t="s">
        <v>359</v>
      </c>
      <c r="B91" s="3">
        <v>2012</v>
      </c>
      <c r="C91" s="15">
        <v>0</v>
      </c>
      <c r="D91" s="5">
        <v>62.879902377007362</v>
      </c>
      <c r="E91" s="3"/>
      <c r="F91" s="3"/>
      <c r="G91" s="5"/>
      <c r="H91" s="7"/>
    </row>
    <row r="92" spans="1:8" x14ac:dyDescent="0.3">
      <c r="A92" s="14" t="s">
        <v>360</v>
      </c>
      <c r="B92" s="3">
        <v>2012</v>
      </c>
      <c r="C92" s="15">
        <v>989.4159242456634</v>
      </c>
      <c r="D92" s="5">
        <v>542.67058530335726</v>
      </c>
      <c r="E92" s="3"/>
      <c r="F92" s="3"/>
      <c r="G92" s="5"/>
      <c r="H92" s="7"/>
    </row>
    <row r="93" spans="1:8" x14ac:dyDescent="0.3">
      <c r="A93" s="14" t="s">
        <v>361</v>
      </c>
      <c r="B93" s="3">
        <v>2012</v>
      </c>
      <c r="C93" s="15">
        <v>8.8991960888368762E-2</v>
      </c>
      <c r="D93" s="5">
        <v>0</v>
      </c>
      <c r="E93" s="3"/>
      <c r="F93" s="3"/>
      <c r="G93" s="5"/>
      <c r="H93" s="7"/>
    </row>
    <row r="94" spans="1:8" x14ac:dyDescent="0.3">
      <c r="A94" s="14" t="s">
        <v>100</v>
      </c>
      <c r="B94" s="3">
        <v>2012</v>
      </c>
      <c r="C94" s="15">
        <v>0</v>
      </c>
      <c r="D94" s="5">
        <v>0</v>
      </c>
      <c r="E94" s="3"/>
      <c r="F94" s="3"/>
      <c r="G94" s="5"/>
      <c r="H94" s="7"/>
    </row>
    <row r="95" spans="1:8" x14ac:dyDescent="0.3">
      <c r="A95" s="14" t="s">
        <v>101</v>
      </c>
      <c r="B95" s="3">
        <v>2012</v>
      </c>
      <c r="C95" s="15">
        <v>0</v>
      </c>
      <c r="D95" s="5">
        <v>0</v>
      </c>
      <c r="E95" s="3"/>
      <c r="F95" s="3"/>
      <c r="G95" s="5"/>
      <c r="H95" s="7"/>
    </row>
    <row r="96" spans="1:8" x14ac:dyDescent="0.3">
      <c r="A96" s="14" t="s">
        <v>102</v>
      </c>
      <c r="B96" s="3">
        <v>2012</v>
      </c>
      <c r="C96" s="15">
        <v>35.9253144809079</v>
      </c>
      <c r="D96" s="5">
        <v>0</v>
      </c>
      <c r="E96" s="3"/>
      <c r="F96" s="3"/>
      <c r="G96" s="5"/>
      <c r="H96" s="7"/>
    </row>
    <row r="97" spans="1:8" x14ac:dyDescent="0.3">
      <c r="A97" s="14" t="s">
        <v>105</v>
      </c>
      <c r="B97" s="3">
        <v>2012</v>
      </c>
      <c r="C97" s="15">
        <v>3.5589993083182456</v>
      </c>
      <c r="D97" s="5">
        <v>0</v>
      </c>
      <c r="E97" s="3"/>
      <c r="F97" s="3"/>
      <c r="G97" s="5"/>
      <c r="H97" s="7"/>
    </row>
    <row r="98" spans="1:8" x14ac:dyDescent="0.3">
      <c r="A98" s="14" t="s">
        <v>107</v>
      </c>
      <c r="B98" s="3">
        <v>2012</v>
      </c>
      <c r="C98" s="15">
        <v>48.912130762819721</v>
      </c>
      <c r="D98" s="5">
        <v>0.34920235841405434</v>
      </c>
      <c r="F98" s="3"/>
      <c r="G98" s="5"/>
      <c r="H98" s="7"/>
    </row>
    <row r="99" spans="1:8" x14ac:dyDescent="0.3">
      <c r="A99" s="14" t="s">
        <v>108</v>
      </c>
      <c r="B99" s="3">
        <v>2012</v>
      </c>
      <c r="C99" s="15">
        <v>0</v>
      </c>
      <c r="D99" s="5">
        <v>4.8425188933931614E-2</v>
      </c>
      <c r="E99" s="3"/>
      <c r="F99" s="3"/>
      <c r="G99" s="5"/>
      <c r="H99" s="7"/>
    </row>
    <row r="100" spans="1:8" x14ac:dyDescent="0.3">
      <c r="A100" s="14" t="s">
        <v>109</v>
      </c>
      <c r="B100" s="3">
        <v>2012</v>
      </c>
      <c r="C100" s="15">
        <v>0</v>
      </c>
      <c r="D100" s="5">
        <v>0</v>
      </c>
      <c r="E100" s="3"/>
      <c r="F100" s="3"/>
      <c r="G100" s="5"/>
      <c r="H100" s="7"/>
    </row>
    <row r="101" spans="1:8" x14ac:dyDescent="0.3">
      <c r="A101" s="14" t="s">
        <v>111</v>
      </c>
      <c r="B101" s="3">
        <v>2012</v>
      </c>
      <c r="C101" s="15">
        <v>61791.495798324955</v>
      </c>
      <c r="D101" s="5">
        <v>582.22434872187705</v>
      </c>
      <c r="E101" s="3"/>
      <c r="F101" s="3"/>
      <c r="G101" s="5"/>
      <c r="H101" s="7"/>
    </row>
    <row r="102" spans="1:8" x14ac:dyDescent="0.3">
      <c r="A102" s="14" t="s">
        <v>113</v>
      </c>
      <c r="B102" s="3">
        <v>2012</v>
      </c>
      <c r="C102" s="15">
        <v>7.7167081310276595</v>
      </c>
      <c r="D102" s="5">
        <v>629.19395634240038</v>
      </c>
      <c r="E102" s="3"/>
      <c r="F102" s="3"/>
      <c r="G102" s="5"/>
      <c r="H102" s="7"/>
    </row>
    <row r="103" spans="1:8" x14ac:dyDescent="0.3">
      <c r="A103" s="14" t="s">
        <v>362</v>
      </c>
      <c r="B103" s="3">
        <v>2012</v>
      </c>
      <c r="C103" s="15">
        <v>0</v>
      </c>
      <c r="D103" s="5">
        <v>0</v>
      </c>
      <c r="E103" s="3"/>
      <c r="F103" s="3"/>
      <c r="G103" s="5"/>
      <c r="H103" s="7"/>
    </row>
    <row r="104" spans="1:8" x14ac:dyDescent="0.3">
      <c r="A104" s="14" t="s">
        <v>117</v>
      </c>
      <c r="B104" s="3">
        <v>2012</v>
      </c>
      <c r="C104" s="15">
        <v>1749.7430231102026</v>
      </c>
      <c r="D104" s="5">
        <v>0</v>
      </c>
      <c r="E104" s="3"/>
      <c r="F104" s="3"/>
      <c r="G104" s="5"/>
      <c r="H104" s="7"/>
    </row>
    <row r="105" spans="1:8" x14ac:dyDescent="0.3">
      <c r="A105" s="14" t="s">
        <v>118</v>
      </c>
      <c r="B105" s="3">
        <v>2012</v>
      </c>
      <c r="C105" s="15">
        <v>0</v>
      </c>
      <c r="D105" s="5">
        <v>0</v>
      </c>
      <c r="E105" s="3"/>
      <c r="F105" s="3"/>
      <c r="G105" s="5"/>
      <c r="H105" s="7"/>
    </row>
    <row r="106" spans="1:8" x14ac:dyDescent="0.3">
      <c r="A106" s="14" t="s">
        <v>119</v>
      </c>
      <c r="B106" s="3">
        <v>2012</v>
      </c>
      <c r="C106" s="15">
        <v>0</v>
      </c>
      <c r="D106" s="5">
        <v>0</v>
      </c>
      <c r="E106" s="3"/>
      <c r="F106" s="3"/>
      <c r="G106" s="5"/>
      <c r="H106" s="7"/>
    </row>
    <row r="107" spans="1:8" x14ac:dyDescent="0.3">
      <c r="A107" s="14" t="s">
        <v>120</v>
      </c>
      <c r="B107" s="3">
        <v>2012</v>
      </c>
      <c r="C107" s="15">
        <v>193.32887467776624</v>
      </c>
      <c r="D107" s="5">
        <v>0</v>
      </c>
      <c r="E107" s="3"/>
      <c r="F107" s="3"/>
      <c r="G107" s="5"/>
      <c r="H107" s="7"/>
    </row>
    <row r="108" spans="1:8" x14ac:dyDescent="0.3">
      <c r="A108" s="14" t="s">
        <v>121</v>
      </c>
      <c r="B108" s="3">
        <v>2012</v>
      </c>
      <c r="C108" s="15">
        <v>11.287701595412694</v>
      </c>
      <c r="D108" s="5">
        <v>0</v>
      </c>
      <c r="E108" s="3"/>
      <c r="F108" s="3"/>
      <c r="G108" s="5"/>
      <c r="H108" s="7"/>
    </row>
    <row r="109" spans="1:8" x14ac:dyDescent="0.3">
      <c r="A109" s="14" t="s">
        <v>122</v>
      </c>
      <c r="B109" s="3">
        <v>2012</v>
      </c>
      <c r="C109" s="15">
        <v>2.9668874107096226</v>
      </c>
      <c r="D109" s="5">
        <v>0</v>
      </c>
      <c r="E109" s="3"/>
      <c r="F109" s="3"/>
      <c r="G109" s="5"/>
      <c r="H109" s="7"/>
    </row>
    <row r="110" spans="1:8" x14ac:dyDescent="0.3">
      <c r="A110" s="14" t="s">
        <v>123</v>
      </c>
      <c r="B110" s="3">
        <v>2012</v>
      </c>
      <c r="C110" s="15">
        <v>5.9205976344575628</v>
      </c>
      <c r="D110" s="5">
        <v>0</v>
      </c>
      <c r="E110" s="3"/>
      <c r="F110" s="3"/>
      <c r="G110" s="5"/>
      <c r="H110" s="7"/>
    </row>
    <row r="111" spans="1:8" x14ac:dyDescent="0.3">
      <c r="A111" s="14" t="s">
        <v>124</v>
      </c>
      <c r="B111" s="3">
        <v>2012</v>
      </c>
      <c r="C111" s="15">
        <v>0</v>
      </c>
      <c r="D111" s="5">
        <v>0</v>
      </c>
      <c r="E111" s="3"/>
      <c r="F111" s="3"/>
      <c r="G111" s="5"/>
      <c r="H111" s="7"/>
    </row>
    <row r="112" spans="1:8" x14ac:dyDescent="0.3">
      <c r="A112" s="14" t="s">
        <v>125</v>
      </c>
      <c r="B112" s="3">
        <v>2012</v>
      </c>
      <c r="C112" s="15">
        <v>34.570203782011852</v>
      </c>
      <c r="D112" s="5">
        <v>0</v>
      </c>
      <c r="E112" s="3"/>
      <c r="F112" s="3"/>
      <c r="G112" s="5"/>
      <c r="H112" s="7"/>
    </row>
    <row r="113" spans="1:8" x14ac:dyDescent="0.3">
      <c r="A113" s="14" t="s">
        <v>126</v>
      </c>
      <c r="B113" s="3">
        <v>2012</v>
      </c>
      <c r="C113" s="15">
        <v>7.5734892405074641</v>
      </c>
      <c r="D113" s="5">
        <v>0</v>
      </c>
      <c r="E113" s="3"/>
      <c r="F113" s="3"/>
      <c r="G113" s="5"/>
      <c r="H113" s="7"/>
    </row>
    <row r="114" spans="1:8" x14ac:dyDescent="0.3">
      <c r="A114" s="14" t="s">
        <v>363</v>
      </c>
      <c r="B114" s="3">
        <v>2012</v>
      </c>
      <c r="C114" s="15">
        <v>1.8616822915305267</v>
      </c>
      <c r="D114" s="5">
        <v>0</v>
      </c>
      <c r="E114" s="3"/>
      <c r="F114" s="3"/>
      <c r="G114" s="5"/>
      <c r="H114" s="7"/>
    </row>
    <row r="115" spans="1:8" x14ac:dyDescent="0.3">
      <c r="A115" s="14" t="s">
        <v>364</v>
      </c>
      <c r="B115" s="3">
        <v>2012</v>
      </c>
      <c r="C115" s="15">
        <v>0</v>
      </c>
      <c r="D115" s="5">
        <v>0</v>
      </c>
      <c r="E115" s="3"/>
      <c r="F115" s="3"/>
      <c r="G115" s="5"/>
      <c r="H115" s="7"/>
    </row>
    <row r="116" spans="1:8" x14ac:dyDescent="0.3">
      <c r="A116" s="14" t="s">
        <v>131</v>
      </c>
      <c r="B116" s="3">
        <v>2012</v>
      </c>
      <c r="C116" s="15">
        <v>0</v>
      </c>
      <c r="D116" s="5">
        <v>0</v>
      </c>
      <c r="E116" s="3"/>
      <c r="F116" s="3"/>
      <c r="G116" s="5"/>
      <c r="H116" s="7"/>
    </row>
    <row r="117" spans="1:8" x14ac:dyDescent="0.3">
      <c r="A117" s="14" t="s">
        <v>365</v>
      </c>
      <c r="B117" s="3">
        <v>2012</v>
      </c>
      <c r="C117" s="15">
        <v>0</v>
      </c>
      <c r="D117" s="5">
        <v>0</v>
      </c>
      <c r="E117" s="3"/>
      <c r="F117" s="3"/>
      <c r="G117" s="5"/>
      <c r="H117" s="7"/>
    </row>
    <row r="118" spans="1:8" x14ac:dyDescent="0.3">
      <c r="A118" s="14" t="s">
        <v>366</v>
      </c>
      <c r="B118" s="3">
        <v>2012</v>
      </c>
      <c r="C118" s="15">
        <v>0</v>
      </c>
      <c r="D118" s="5">
        <v>0</v>
      </c>
      <c r="E118" s="3"/>
      <c r="F118" s="3"/>
      <c r="G118" s="5"/>
      <c r="H118" s="7"/>
    </row>
    <row r="119" spans="1:8" x14ac:dyDescent="0.3">
      <c r="A119" s="14" t="s">
        <v>367</v>
      </c>
      <c r="B119" s="3">
        <v>2012</v>
      </c>
      <c r="C119" s="15">
        <v>0</v>
      </c>
      <c r="D119" s="5">
        <v>0</v>
      </c>
      <c r="F119" s="3"/>
      <c r="G119" s="5"/>
      <c r="H119" s="7"/>
    </row>
    <row r="120" spans="1:8" x14ac:dyDescent="0.3">
      <c r="A120" s="14" t="s">
        <v>136</v>
      </c>
      <c r="B120" s="3">
        <v>2012</v>
      </c>
      <c r="C120" s="15">
        <v>2.0960005643810402</v>
      </c>
      <c r="D120" s="5">
        <v>0</v>
      </c>
      <c r="F120" s="3"/>
      <c r="G120" s="5"/>
      <c r="H120" s="7"/>
    </row>
    <row r="121" spans="1:8" x14ac:dyDescent="0.3">
      <c r="A121" s="14" t="s">
        <v>137</v>
      </c>
      <c r="B121" s="3">
        <v>2012</v>
      </c>
      <c r="C121" s="5">
        <f>4.14*$C$3/10000</f>
        <v>44631.27</v>
      </c>
      <c r="D121" s="5">
        <v>4700.6871434868281</v>
      </c>
      <c r="E121" s="3" t="s">
        <v>281</v>
      </c>
      <c r="F121" s="3"/>
      <c r="G121" s="5"/>
      <c r="H121" s="7"/>
    </row>
    <row r="122" spans="1:8" x14ac:dyDescent="0.3">
      <c r="A122" s="14" t="s">
        <v>138</v>
      </c>
      <c r="B122" s="3">
        <v>2012</v>
      </c>
      <c r="C122" s="15">
        <v>7.9287651517623559</v>
      </c>
      <c r="D122" s="5">
        <v>96.31613731284709</v>
      </c>
      <c r="E122" s="3"/>
      <c r="F122" s="3"/>
      <c r="G122" s="5"/>
      <c r="H122" s="7"/>
    </row>
    <row r="123" spans="1:8" x14ac:dyDescent="0.3">
      <c r="A123" s="14" t="s">
        <v>139</v>
      </c>
      <c r="B123" s="3">
        <v>2012</v>
      </c>
      <c r="C123" s="5">
        <f>1.11*$C$3/10000</f>
        <v>11966.355000000001</v>
      </c>
      <c r="D123" s="5">
        <v>0</v>
      </c>
      <c r="E123" s="3" t="s">
        <v>230</v>
      </c>
      <c r="F123" s="3"/>
      <c r="G123" s="5"/>
      <c r="H123" s="7"/>
    </row>
    <row r="124" spans="1:8" ht="28" x14ac:dyDescent="0.3">
      <c r="A124" s="14" t="s">
        <v>368</v>
      </c>
      <c r="B124" s="3">
        <v>2012</v>
      </c>
      <c r="C124" s="5">
        <f>0.55*$C$3/10000</f>
        <v>5929.2750000000005</v>
      </c>
      <c r="D124" s="5">
        <v>606.07557380728986</v>
      </c>
      <c r="E124" s="3" t="s">
        <v>279</v>
      </c>
      <c r="F124" s="3"/>
      <c r="G124" s="5"/>
      <c r="H124" s="7"/>
    </row>
    <row r="125" spans="1:8" x14ac:dyDescent="0.3">
      <c r="A125" s="14" t="s">
        <v>144</v>
      </c>
      <c r="B125" s="3">
        <v>2012</v>
      </c>
      <c r="C125" s="15">
        <v>19.375401029541976</v>
      </c>
      <c r="D125" s="5">
        <v>1.625017394363754</v>
      </c>
      <c r="F125" s="3"/>
      <c r="G125" s="5"/>
      <c r="H125" s="7"/>
    </row>
    <row r="126" spans="1:8" x14ac:dyDescent="0.3">
      <c r="A126" s="14" t="s">
        <v>145</v>
      </c>
      <c r="B126" s="3">
        <v>2012</v>
      </c>
      <c r="C126" s="5">
        <f>2.48*$C$3/10000</f>
        <v>26735.64</v>
      </c>
      <c r="D126" s="5">
        <v>4.9909911327431891</v>
      </c>
      <c r="E126" s="3" t="s">
        <v>229</v>
      </c>
      <c r="F126" s="3"/>
      <c r="G126" s="5"/>
      <c r="H126" s="7"/>
    </row>
    <row r="127" spans="1:8" x14ac:dyDescent="0.3">
      <c r="A127" s="14" t="s">
        <v>369</v>
      </c>
      <c r="B127" s="3">
        <v>2012</v>
      </c>
      <c r="C127" s="15">
        <v>362.04607452811462</v>
      </c>
      <c r="D127" s="5">
        <v>38895.489800685296</v>
      </c>
      <c r="F127" s="3"/>
      <c r="G127" s="5"/>
      <c r="H127" s="7"/>
    </row>
    <row r="128" spans="1:8" x14ac:dyDescent="0.3">
      <c r="A128" s="14" t="s">
        <v>370</v>
      </c>
      <c r="B128" s="3">
        <v>2012</v>
      </c>
      <c r="C128" s="15">
        <v>136.32314637107521</v>
      </c>
      <c r="D128" s="5">
        <v>11177.403021819888</v>
      </c>
      <c r="F128" s="3"/>
      <c r="G128" s="5"/>
      <c r="H128" s="7"/>
    </row>
    <row r="129" spans="1:8" x14ac:dyDescent="0.3">
      <c r="A129" s="14" t="s">
        <v>154</v>
      </c>
      <c r="B129" s="3">
        <v>2012</v>
      </c>
      <c r="C129" s="15">
        <v>0</v>
      </c>
      <c r="D129" s="5">
        <v>218.12624837495378</v>
      </c>
      <c r="F129" s="3"/>
      <c r="G129" s="5"/>
      <c r="H129" s="7"/>
    </row>
    <row r="130" spans="1:8" x14ac:dyDescent="0.3">
      <c r="A130" s="14" t="s">
        <v>413</v>
      </c>
      <c r="B130" s="3">
        <v>2012</v>
      </c>
      <c r="C130" s="15">
        <v>0</v>
      </c>
      <c r="D130" s="5">
        <v>4415.0965949411257</v>
      </c>
      <c r="E130" s="3"/>
      <c r="F130" s="3"/>
      <c r="G130" s="5"/>
      <c r="H130" s="7"/>
    </row>
    <row r="131" spans="1:8" x14ac:dyDescent="0.3">
      <c r="A131" s="14" t="s">
        <v>414</v>
      </c>
      <c r="B131" s="3">
        <v>2012</v>
      </c>
      <c r="C131" s="5">
        <f>0.45*$C$3/10000</f>
        <v>4851.2250000000004</v>
      </c>
      <c r="D131" s="5">
        <v>861.14861964564773</v>
      </c>
      <c r="E131" s="3" t="s">
        <v>232</v>
      </c>
      <c r="F131" s="3"/>
      <c r="G131" s="5"/>
      <c r="H131" s="7"/>
    </row>
    <row r="132" spans="1:8" x14ac:dyDescent="0.3">
      <c r="A132" s="14" t="s">
        <v>415</v>
      </c>
      <c r="B132" s="3">
        <v>2012</v>
      </c>
      <c r="C132" s="15">
        <v>8543.5759766444698</v>
      </c>
      <c r="D132" s="5">
        <v>384.85391262748931</v>
      </c>
      <c r="E132" s="3"/>
      <c r="F132" s="3"/>
      <c r="G132" s="5"/>
      <c r="H132" s="7"/>
    </row>
    <row r="133" spans="1:8" x14ac:dyDescent="0.3">
      <c r="A133" s="14" t="s">
        <v>416</v>
      </c>
      <c r="B133" s="3">
        <v>2012</v>
      </c>
      <c r="C133" s="15">
        <v>28374.918748571188</v>
      </c>
      <c r="D133" s="5">
        <v>0</v>
      </c>
      <c r="E133" s="3"/>
      <c r="F133" s="3"/>
      <c r="G133" s="5"/>
      <c r="H133" s="7"/>
    </row>
    <row r="134" spans="1:8" x14ac:dyDescent="0.3">
      <c r="A134" s="14" t="s">
        <v>417</v>
      </c>
      <c r="B134" s="3">
        <v>2012</v>
      </c>
      <c r="C134" s="15">
        <v>4056.984991416196</v>
      </c>
      <c r="D134" s="5">
        <v>7.0234779049922906</v>
      </c>
      <c r="F134" s="3"/>
      <c r="G134" s="5"/>
      <c r="H134" s="7"/>
    </row>
    <row r="135" spans="1:8" x14ac:dyDescent="0.3">
      <c r="A135" s="14" t="s">
        <v>418</v>
      </c>
      <c r="B135" s="3">
        <v>2012</v>
      </c>
      <c r="C135" s="15">
        <v>507.73012535558024</v>
      </c>
      <c r="D135" s="5">
        <v>0</v>
      </c>
      <c r="E135" s="3"/>
      <c r="F135" s="3"/>
      <c r="G135" s="5"/>
      <c r="H135" s="7"/>
    </row>
    <row r="136" spans="1:8" x14ac:dyDescent="0.3">
      <c r="A136" s="14" t="s">
        <v>167</v>
      </c>
      <c r="B136" s="3">
        <v>2012</v>
      </c>
      <c r="C136" s="15">
        <v>804.2877415850005</v>
      </c>
      <c r="D136" s="5">
        <v>0</v>
      </c>
      <c r="E136" s="3"/>
      <c r="F136" s="3"/>
      <c r="G136" s="5"/>
      <c r="H136" s="7"/>
    </row>
    <row r="137" spans="1:8" x14ac:dyDescent="0.3">
      <c r="A137" s="14" t="s">
        <v>419</v>
      </c>
      <c r="B137" s="3">
        <v>2012</v>
      </c>
      <c r="C137" s="15">
        <v>8726.680930149967</v>
      </c>
      <c r="D137" s="5">
        <v>4.9409619809933352</v>
      </c>
      <c r="E137" s="3"/>
      <c r="F137" s="3"/>
      <c r="G137" s="5"/>
      <c r="H137" s="7"/>
    </row>
    <row r="138" spans="1:8" x14ac:dyDescent="0.3">
      <c r="A138" s="14" t="s">
        <v>170</v>
      </c>
      <c r="B138" s="3">
        <v>2012</v>
      </c>
      <c r="C138" s="15">
        <v>14142.340020441785</v>
      </c>
      <c r="D138" s="5">
        <v>118259.46396314081</v>
      </c>
      <c r="E138" s="3"/>
      <c r="F138" s="3"/>
      <c r="G138" s="5"/>
      <c r="H138" s="7"/>
    </row>
    <row r="139" spans="1:8" x14ac:dyDescent="0.3">
      <c r="A139" s="14" t="s">
        <v>171</v>
      </c>
      <c r="B139" s="3">
        <v>2012</v>
      </c>
      <c r="C139" s="15">
        <v>2661.8746972139306</v>
      </c>
      <c r="D139" s="5">
        <v>0</v>
      </c>
      <c r="E139" s="3"/>
      <c r="F139" s="3"/>
      <c r="G139" s="5"/>
      <c r="H139" s="7"/>
    </row>
    <row r="140" spans="1:8" x14ac:dyDescent="0.3">
      <c r="A140" s="14" t="s">
        <v>172</v>
      </c>
      <c r="B140" s="3">
        <v>2012</v>
      </c>
      <c r="C140" s="15">
        <v>227.65779403656649</v>
      </c>
      <c r="D140" s="5">
        <v>682.4955232471234</v>
      </c>
      <c r="E140" s="3"/>
      <c r="F140" s="3"/>
      <c r="G140" s="5"/>
      <c r="H140" s="7"/>
    </row>
    <row r="141" spans="1:8" x14ac:dyDescent="0.3">
      <c r="A141" s="14" t="s">
        <v>173</v>
      </c>
      <c r="B141" s="3">
        <v>2012</v>
      </c>
      <c r="C141" s="15">
        <v>642.23599787048647</v>
      </c>
      <c r="D141" s="5">
        <v>55813.391402909008</v>
      </c>
      <c r="E141" s="3"/>
      <c r="F141" s="3"/>
      <c r="G141" s="5"/>
      <c r="H141" s="7"/>
    </row>
    <row r="142" spans="1:8" x14ac:dyDescent="0.3">
      <c r="A142" s="14" t="s">
        <v>420</v>
      </c>
      <c r="B142" s="3">
        <v>2012</v>
      </c>
      <c r="C142" s="15">
        <v>2065.7544751653058</v>
      </c>
      <c r="D142" s="5">
        <v>7762.4289642306476</v>
      </c>
      <c r="E142" s="3"/>
      <c r="F142" s="3"/>
      <c r="G142" s="5"/>
      <c r="H142" s="7"/>
    </row>
    <row r="143" spans="1:8" x14ac:dyDescent="0.3">
      <c r="A143" s="14" t="s">
        <v>421</v>
      </c>
      <c r="B143" s="3">
        <v>2012</v>
      </c>
      <c r="C143" s="15">
        <v>2.3664182202314081</v>
      </c>
      <c r="D143" s="5">
        <v>0</v>
      </c>
      <c r="E143" s="3"/>
      <c r="F143" s="3"/>
      <c r="G143" s="5"/>
      <c r="H143" s="7"/>
    </row>
    <row r="144" spans="1:8" x14ac:dyDescent="0.3">
      <c r="A144" s="14" t="s">
        <v>386</v>
      </c>
      <c r="B144" s="3">
        <v>2012</v>
      </c>
      <c r="C144" s="15">
        <v>102666.6450399937</v>
      </c>
      <c r="D144" s="5">
        <v>0</v>
      </c>
      <c r="F144" s="3"/>
      <c r="G144" s="5"/>
      <c r="H144" s="7"/>
    </row>
    <row r="145" spans="1:8" x14ac:dyDescent="0.3">
      <c r="A145" s="14" t="s">
        <v>181</v>
      </c>
      <c r="B145" s="3">
        <v>2012</v>
      </c>
      <c r="C145" s="15">
        <v>191.00062385784116</v>
      </c>
      <c r="D145" s="5">
        <v>0</v>
      </c>
      <c r="E145" s="3"/>
      <c r="F145" s="3"/>
      <c r="G145" s="5"/>
      <c r="H145" s="7"/>
    </row>
    <row r="146" spans="1:8" x14ac:dyDescent="0.3">
      <c r="A146" s="14" t="s">
        <v>182</v>
      </c>
      <c r="B146" s="3">
        <v>2012</v>
      </c>
      <c r="C146" s="5">
        <f>2.22*$C$3/10000</f>
        <v>23932.710000000003</v>
      </c>
      <c r="D146" s="5">
        <v>0</v>
      </c>
      <c r="E146" s="3" t="s">
        <v>231</v>
      </c>
      <c r="F146" s="3"/>
      <c r="G146" s="5"/>
      <c r="H146" s="7"/>
    </row>
    <row r="147" spans="1:8" x14ac:dyDescent="0.3">
      <c r="A147" s="14" t="s">
        <v>184</v>
      </c>
      <c r="B147" s="3">
        <v>2012</v>
      </c>
      <c r="C147" s="15">
        <v>124.28408899377261</v>
      </c>
      <c r="D147" s="5">
        <v>1320.8419910234809</v>
      </c>
      <c r="F147" s="3"/>
      <c r="G147" s="5"/>
      <c r="H147" s="7"/>
    </row>
    <row r="148" spans="1:8" x14ac:dyDescent="0.3">
      <c r="A148" s="14" t="s">
        <v>185</v>
      </c>
      <c r="B148" s="3">
        <v>2012</v>
      </c>
      <c r="C148" s="15">
        <v>751.85604732454044</v>
      </c>
      <c r="D148" s="5">
        <v>66.612984345518854</v>
      </c>
      <c r="E148" s="3"/>
      <c r="F148" s="3"/>
      <c r="G148" s="5"/>
      <c r="H148" s="7"/>
    </row>
    <row r="149" spans="1:8" x14ac:dyDescent="0.3">
      <c r="A149" s="14" t="s">
        <v>387</v>
      </c>
      <c r="B149" s="3">
        <v>2012</v>
      </c>
      <c r="C149" s="5">
        <v>467.81684792599287</v>
      </c>
      <c r="D149" s="5">
        <v>36087.905792994301</v>
      </c>
      <c r="E149" s="3" t="s">
        <v>429</v>
      </c>
      <c r="F149" s="3"/>
      <c r="G149" s="5"/>
      <c r="H149" s="7"/>
    </row>
    <row r="150" spans="1:8" x14ac:dyDescent="0.3">
      <c r="A150" s="14" t="s">
        <v>188</v>
      </c>
      <c r="B150" s="3">
        <v>2012</v>
      </c>
      <c r="C150" s="15">
        <v>776.6638533999851</v>
      </c>
      <c r="D150" s="5">
        <v>7577.5887126785665</v>
      </c>
      <c r="F150" s="3"/>
      <c r="G150" s="5"/>
      <c r="H150" s="7"/>
    </row>
    <row r="151" spans="1:8" x14ac:dyDescent="0.3">
      <c r="A151" s="14" t="s">
        <v>388</v>
      </c>
      <c r="B151" s="3">
        <v>2012</v>
      </c>
      <c r="C151" s="15">
        <v>22329.495024270484</v>
      </c>
      <c r="D151" s="5">
        <v>93.927328201379353</v>
      </c>
      <c r="E151" s="3"/>
      <c r="F151" s="3"/>
      <c r="G151" s="5"/>
      <c r="H151" s="7"/>
    </row>
    <row r="152" spans="1:8" x14ac:dyDescent="0.3">
      <c r="A152" s="14" t="s">
        <v>389</v>
      </c>
      <c r="B152" s="3">
        <v>2012</v>
      </c>
      <c r="C152" s="5">
        <v>17358.45823922383</v>
      </c>
      <c r="D152" s="5">
        <v>977.03904550922846</v>
      </c>
      <c r="E152" s="3" t="s">
        <v>428</v>
      </c>
      <c r="F152" s="3"/>
      <c r="G152" s="5"/>
      <c r="H152" s="7"/>
    </row>
    <row r="153" spans="1:8" x14ac:dyDescent="0.3">
      <c r="A153" s="14" t="s">
        <v>195</v>
      </c>
      <c r="B153" s="3">
        <v>2012</v>
      </c>
      <c r="C153" s="15">
        <v>15785.839880011119</v>
      </c>
      <c r="D153" s="5">
        <v>538.64519900238838</v>
      </c>
      <c r="E153" s="3"/>
      <c r="F153" s="3"/>
      <c r="G153" s="5"/>
      <c r="H153" s="7"/>
    </row>
    <row r="154" spans="1:8" x14ac:dyDescent="0.3">
      <c r="A154" s="14" t="s">
        <v>390</v>
      </c>
      <c r="B154" s="3">
        <v>2012</v>
      </c>
      <c r="C154" s="15">
        <v>192.890865928604</v>
      </c>
      <c r="D154" s="5">
        <v>608.72271410579935</v>
      </c>
      <c r="E154" s="3"/>
      <c r="F154" s="3"/>
      <c r="G154" s="5"/>
      <c r="H154" s="7"/>
    </row>
    <row r="155" spans="1:8" x14ac:dyDescent="0.3">
      <c r="A155" s="14" t="s">
        <v>197</v>
      </c>
      <c r="B155" s="3">
        <v>2012</v>
      </c>
      <c r="C155" s="15">
        <v>0</v>
      </c>
      <c r="D155" s="5">
        <v>61924.527556900364</v>
      </c>
      <c r="E155" s="3"/>
      <c r="F155" s="3"/>
      <c r="G155" s="5"/>
      <c r="H155" s="7"/>
    </row>
    <row r="156" spans="1:8" x14ac:dyDescent="0.3">
      <c r="A156" s="14" t="s">
        <v>199</v>
      </c>
      <c r="B156" s="3">
        <v>2012</v>
      </c>
      <c r="C156" s="15">
        <v>434.02772591408183</v>
      </c>
      <c r="D156" s="5">
        <v>7753.3029229781459</v>
      </c>
      <c r="F156" s="3"/>
      <c r="G156" s="5"/>
      <c r="H156" s="7"/>
    </row>
    <row r="157" spans="1:8" x14ac:dyDescent="0.3">
      <c r="A157" s="14" t="s">
        <v>201</v>
      </c>
      <c r="B157" s="3">
        <v>2012</v>
      </c>
      <c r="C157" s="15">
        <v>1190.9425529264918</v>
      </c>
      <c r="D157" s="5">
        <v>347.56045416983119</v>
      </c>
      <c r="E157" s="3"/>
      <c r="F157" s="3"/>
      <c r="G157" s="5"/>
      <c r="H157" s="7"/>
    </row>
    <row r="158" spans="1:8" x14ac:dyDescent="0.3">
      <c r="A158" s="14" t="s">
        <v>202</v>
      </c>
      <c r="B158" s="3">
        <v>2012</v>
      </c>
      <c r="C158" s="15">
        <v>308.65541167878939</v>
      </c>
      <c r="D158" s="5">
        <v>3680.712661050095</v>
      </c>
      <c r="E158" s="3"/>
      <c r="F158" s="3"/>
      <c r="G158" s="5"/>
      <c r="H158" s="7"/>
    </row>
    <row r="159" spans="1:8" x14ac:dyDescent="0.3">
      <c r="A159" s="14" t="s">
        <v>203</v>
      </c>
      <c r="B159" s="3">
        <v>2012</v>
      </c>
      <c r="C159" s="15">
        <v>27.766162628406473</v>
      </c>
      <c r="D159" s="5">
        <v>8111.9890729163008</v>
      </c>
      <c r="F159" s="3"/>
      <c r="G159" s="5"/>
      <c r="H159" s="7"/>
    </row>
    <row r="160" spans="1:8" x14ac:dyDescent="0.3">
      <c r="A160" s="14" t="s">
        <v>204</v>
      </c>
      <c r="B160" s="3">
        <v>2012</v>
      </c>
      <c r="C160" s="15">
        <v>0</v>
      </c>
      <c r="D160" s="5">
        <v>1014.6375515293444</v>
      </c>
      <c r="E160" s="3"/>
      <c r="F160" s="3"/>
      <c r="G160" s="5"/>
      <c r="H160" s="7"/>
    </row>
    <row r="161" spans="1:8" x14ac:dyDescent="0.3">
      <c r="A161" s="14" t="s">
        <v>205</v>
      </c>
      <c r="B161" s="3">
        <v>2012</v>
      </c>
      <c r="C161" s="15">
        <v>15.154626137644748</v>
      </c>
      <c r="D161" s="5">
        <v>111.85200362584798</v>
      </c>
      <c r="F161" s="3"/>
      <c r="G161" s="5"/>
      <c r="H161" s="7"/>
    </row>
    <row r="162" spans="1:8" x14ac:dyDescent="0.3">
      <c r="A162" s="14" t="s">
        <v>206</v>
      </c>
      <c r="B162" s="3">
        <v>2012</v>
      </c>
      <c r="C162" s="15">
        <v>8.7967001217094332</v>
      </c>
      <c r="D162" s="5">
        <v>13.887645817168197</v>
      </c>
      <c r="F162" s="3"/>
      <c r="G162" s="5"/>
      <c r="H162" s="7"/>
    </row>
    <row r="163" spans="1:8" x14ac:dyDescent="0.3">
      <c r="A163" s="14" t="s">
        <v>207</v>
      </c>
      <c r="B163" s="3">
        <v>2012</v>
      </c>
      <c r="C163" s="15">
        <v>81.474863618060581</v>
      </c>
      <c r="D163" s="5">
        <v>573.71611400172947</v>
      </c>
      <c r="E163" s="3"/>
      <c r="F163" s="3"/>
      <c r="G163" s="5"/>
      <c r="H163" s="7"/>
    </row>
    <row r="164" spans="1:8" x14ac:dyDescent="0.3">
      <c r="A164" s="14" t="s">
        <v>208</v>
      </c>
      <c r="B164" s="3">
        <v>2012</v>
      </c>
      <c r="C164" s="15">
        <v>0</v>
      </c>
      <c r="D164" s="5">
        <v>118.11368951832833</v>
      </c>
      <c r="E164" s="3"/>
      <c r="F164" s="3"/>
      <c r="G164" s="5"/>
      <c r="H164" s="7"/>
    </row>
    <row r="165" spans="1:8" x14ac:dyDescent="0.3">
      <c r="A165" s="14" t="s">
        <v>209</v>
      </c>
      <c r="B165" s="3">
        <v>2012</v>
      </c>
      <c r="C165" s="15">
        <v>8.2367526195866088</v>
      </c>
      <c r="D165" s="5">
        <v>42.180513186743873</v>
      </c>
      <c r="E165" s="3"/>
      <c r="F165" s="3"/>
      <c r="G165" s="5"/>
      <c r="H165" s="7"/>
    </row>
    <row r="166" spans="1:8" x14ac:dyDescent="0.3">
      <c r="A166" s="14" t="s">
        <v>211</v>
      </c>
      <c r="B166" s="3"/>
      <c r="C166" s="15">
        <v>994.46185732062179</v>
      </c>
      <c r="D166" s="5">
        <v>60.076098441610974</v>
      </c>
      <c r="E166" s="3"/>
      <c r="F166" s="3"/>
      <c r="G166" s="5"/>
      <c r="H166" s="7"/>
    </row>
    <row r="167" spans="1:8" x14ac:dyDescent="0.3">
      <c r="A167" s="14" t="s">
        <v>422</v>
      </c>
      <c r="B167" s="3"/>
      <c r="C167" s="15">
        <v>1826.7154460565766</v>
      </c>
      <c r="D167" s="5">
        <v>0</v>
      </c>
      <c r="F167" s="3"/>
      <c r="G167" s="5"/>
      <c r="H167" s="7"/>
    </row>
    <row r="168" spans="1:8" x14ac:dyDescent="0.3">
      <c r="A168" s="3"/>
      <c r="B168" s="3"/>
      <c r="C168" s="5"/>
      <c r="D168" s="5"/>
      <c r="E168" s="3"/>
      <c r="F168" s="3"/>
      <c r="G168" s="5"/>
      <c r="H168" s="7"/>
    </row>
    <row r="169" spans="1:8" x14ac:dyDescent="0.3">
      <c r="A169" s="3"/>
      <c r="B169" s="3"/>
      <c r="C169" s="5"/>
      <c r="D169" s="5"/>
      <c r="E169" s="3"/>
      <c r="F169" s="3"/>
      <c r="G169" s="5"/>
      <c r="H169" s="7"/>
    </row>
    <row r="170" spans="1:8" x14ac:dyDescent="0.3">
      <c r="A170" s="3"/>
      <c r="B170" s="3"/>
      <c r="C170" s="5"/>
      <c r="D170" s="5"/>
      <c r="E170" s="3"/>
      <c r="F170" s="3"/>
      <c r="G170" s="5"/>
      <c r="H170" s="7"/>
    </row>
    <row r="171" spans="1:8" x14ac:dyDescent="0.3">
      <c r="A171" s="3"/>
      <c r="B171" s="3"/>
      <c r="C171" s="5"/>
      <c r="D171" s="5"/>
      <c r="E171" s="3"/>
      <c r="F171" s="3"/>
      <c r="G171" s="5"/>
      <c r="H171" s="7"/>
    </row>
    <row r="172" spans="1:8" x14ac:dyDescent="0.3">
      <c r="A172" s="3"/>
      <c r="B172" s="3"/>
      <c r="C172" s="5"/>
      <c r="D172" s="5"/>
      <c r="E172" s="3"/>
      <c r="F172" s="3"/>
      <c r="G172" s="5"/>
      <c r="H172" s="7"/>
    </row>
    <row r="173" spans="1:8" x14ac:dyDescent="0.3">
      <c r="A173" s="3"/>
      <c r="B173" s="3"/>
      <c r="C173" s="5"/>
      <c r="D173" s="5"/>
      <c r="E173" s="3"/>
      <c r="F173" s="3"/>
      <c r="G173" s="5"/>
      <c r="H173" s="7"/>
    </row>
    <row r="174" spans="1:8" x14ac:dyDescent="0.3">
      <c r="A174" s="3"/>
      <c r="B174" s="3"/>
      <c r="C174" s="5"/>
      <c r="D174" s="5"/>
      <c r="E174" s="3"/>
      <c r="F174" s="3"/>
      <c r="G174" s="5"/>
      <c r="H174" s="7"/>
    </row>
    <row r="175" spans="1:8" x14ac:dyDescent="0.3">
      <c r="A175" s="3"/>
      <c r="B175" s="3"/>
      <c r="C175" s="5"/>
      <c r="D175" s="5"/>
      <c r="E175" s="3"/>
      <c r="F175" s="3"/>
      <c r="G175" s="5"/>
      <c r="H175" s="7"/>
    </row>
    <row r="176" spans="1:8" x14ac:dyDescent="0.3">
      <c r="A176" s="3"/>
      <c r="B176" s="3"/>
      <c r="C176" s="5"/>
      <c r="D176" s="5"/>
      <c r="E176" s="3"/>
      <c r="F176" s="3"/>
      <c r="G176" s="5"/>
      <c r="H176" s="7"/>
    </row>
    <row r="177" spans="1:8" x14ac:dyDescent="0.3">
      <c r="A177" s="3"/>
      <c r="B177" s="3"/>
      <c r="C177" s="5"/>
      <c r="D177" s="5"/>
      <c r="E177" s="3"/>
      <c r="F177" s="3"/>
      <c r="G177" s="5"/>
      <c r="H177" s="7"/>
    </row>
    <row r="178" spans="1:8" x14ac:dyDescent="0.3">
      <c r="A178" s="3"/>
      <c r="B178" s="3"/>
      <c r="C178" s="5"/>
      <c r="D178" s="5"/>
      <c r="E178" s="3"/>
      <c r="F178" s="3"/>
      <c r="G178" s="5"/>
      <c r="H178" s="7"/>
    </row>
    <row r="179" spans="1:8" x14ac:dyDescent="0.3">
      <c r="A179" s="3"/>
      <c r="B179" s="3"/>
      <c r="C179" s="5"/>
      <c r="D179" s="5"/>
      <c r="E179" s="3"/>
      <c r="F179" s="3"/>
      <c r="G179" s="5"/>
      <c r="H179" s="7"/>
    </row>
    <row r="180" spans="1:8" x14ac:dyDescent="0.3">
      <c r="A180" s="3"/>
      <c r="B180" s="3"/>
      <c r="C180" s="5"/>
      <c r="D180" s="5"/>
      <c r="E180" s="3"/>
      <c r="F180" s="3"/>
      <c r="G180" s="5"/>
      <c r="H180" s="7"/>
    </row>
    <row r="181" spans="1:8" x14ac:dyDescent="0.3">
      <c r="A181" s="3"/>
      <c r="B181" s="3"/>
      <c r="C181" s="5"/>
      <c r="D181" s="5"/>
      <c r="E181" s="3"/>
      <c r="F181" s="3"/>
      <c r="G181" s="5"/>
      <c r="H181" s="7"/>
    </row>
    <row r="182" spans="1:8" x14ac:dyDescent="0.3">
      <c r="A182" s="3"/>
      <c r="B182" s="3"/>
      <c r="C182" s="5"/>
      <c r="D182" s="5"/>
      <c r="E182" s="3"/>
      <c r="F182" s="3"/>
      <c r="G182" s="5"/>
      <c r="H182" s="7"/>
    </row>
    <row r="183" spans="1:8" x14ac:dyDescent="0.3">
      <c r="A183" s="3"/>
      <c r="B183" s="3"/>
      <c r="C183" s="5"/>
      <c r="D183" s="5"/>
      <c r="E183" s="3"/>
      <c r="F183" s="3"/>
      <c r="G183" s="5"/>
      <c r="H183" s="7"/>
    </row>
    <row r="184" spans="1:8" x14ac:dyDescent="0.3">
      <c r="A184" s="3"/>
      <c r="B184" s="3"/>
      <c r="C184" s="5"/>
      <c r="D184" s="5"/>
      <c r="E184" s="3"/>
      <c r="F184" s="3"/>
      <c r="G184" s="5"/>
      <c r="H184" s="7"/>
    </row>
    <row r="185" spans="1:8" x14ac:dyDescent="0.3">
      <c r="A185" s="3"/>
      <c r="B185" s="3"/>
      <c r="C185" s="5"/>
      <c r="D185" s="5"/>
      <c r="E185" s="3"/>
      <c r="F185" s="3"/>
      <c r="G185" s="5"/>
      <c r="H185" s="7"/>
    </row>
    <row r="186" spans="1:8" x14ac:dyDescent="0.3">
      <c r="A186" s="3"/>
      <c r="B186" s="3"/>
      <c r="C186" s="5"/>
      <c r="D186" s="5"/>
      <c r="E186" s="3"/>
      <c r="F186" s="3"/>
      <c r="G186" s="5"/>
      <c r="H186" s="7"/>
    </row>
    <row r="187" spans="1:8" x14ac:dyDescent="0.3">
      <c r="A187" s="3"/>
      <c r="B187" s="3"/>
      <c r="C187" s="5"/>
      <c r="D187" s="5"/>
      <c r="E187" s="3"/>
      <c r="F187" s="3"/>
      <c r="G187" s="5"/>
      <c r="H187" s="7"/>
    </row>
    <row r="188" spans="1:8" x14ac:dyDescent="0.3">
      <c r="A188" s="3"/>
      <c r="B188" s="3"/>
      <c r="C188" s="5"/>
      <c r="D188" s="5"/>
      <c r="E188" s="3"/>
      <c r="F188" s="3"/>
      <c r="G188" s="5"/>
      <c r="H188" s="7"/>
    </row>
    <row r="189" spans="1:8" x14ac:dyDescent="0.3">
      <c r="A189" s="3"/>
      <c r="B189" s="3"/>
      <c r="C189" s="5"/>
      <c r="D189" s="5"/>
      <c r="E189" s="3"/>
      <c r="F189" s="3"/>
      <c r="G189" s="5"/>
      <c r="H189" s="7"/>
    </row>
    <row r="190" spans="1:8" x14ac:dyDescent="0.3">
      <c r="A190" s="3"/>
      <c r="B190" s="3"/>
      <c r="C190" s="5"/>
      <c r="D190" s="5"/>
      <c r="E190" s="3"/>
      <c r="F190" s="3"/>
      <c r="G190" s="5"/>
      <c r="H190" s="7"/>
    </row>
    <row r="191" spans="1:8" x14ac:dyDescent="0.3">
      <c r="A191" s="3"/>
      <c r="B191" s="3"/>
      <c r="C191" s="5"/>
      <c r="D191" s="5"/>
      <c r="E191" s="3"/>
      <c r="F191" s="3"/>
      <c r="G191" s="5"/>
      <c r="H191" s="7"/>
    </row>
    <row r="192" spans="1:8" x14ac:dyDescent="0.3">
      <c r="A192" s="3"/>
      <c r="B192" s="3"/>
      <c r="C192" s="5"/>
      <c r="D192" s="5"/>
      <c r="E192" s="3"/>
      <c r="F192" s="3"/>
      <c r="G192" s="5"/>
      <c r="H192" s="7"/>
    </row>
    <row r="193" spans="1:8" x14ac:dyDescent="0.3">
      <c r="A193" s="3"/>
      <c r="B193" s="3"/>
      <c r="C193" s="5"/>
      <c r="D193" s="5"/>
      <c r="E193" s="3"/>
      <c r="F193" s="3"/>
      <c r="G193" s="5"/>
      <c r="H193" s="7"/>
    </row>
    <row r="194" spans="1:8" x14ac:dyDescent="0.3">
      <c r="A194" s="3"/>
      <c r="B194" s="3"/>
      <c r="C194" s="5"/>
      <c r="D194" s="5"/>
      <c r="E194" s="3"/>
      <c r="F194" s="3"/>
      <c r="G194" s="5"/>
      <c r="H194" s="7"/>
    </row>
    <row r="195" spans="1:8" x14ac:dyDescent="0.3">
      <c r="A195" s="3"/>
      <c r="B195" s="3"/>
      <c r="C195" s="5"/>
      <c r="D195" s="5"/>
      <c r="E195" s="3"/>
      <c r="F195" s="3"/>
      <c r="G195" s="5"/>
      <c r="H195" s="7"/>
    </row>
    <row r="196" spans="1:8" x14ac:dyDescent="0.3">
      <c r="A196" s="3"/>
      <c r="B196" s="3"/>
      <c r="C196" s="5"/>
      <c r="D196" s="5"/>
      <c r="E196" s="3"/>
      <c r="F196" s="3"/>
      <c r="G196" s="5"/>
      <c r="H196" s="7"/>
    </row>
    <row r="197" spans="1:8" x14ac:dyDescent="0.3">
      <c r="A197" s="3"/>
      <c r="B197" s="3"/>
      <c r="C197" s="5"/>
      <c r="D197" s="5"/>
      <c r="E197" s="3"/>
      <c r="F197" s="3"/>
      <c r="G197" s="5"/>
      <c r="H197" s="7"/>
    </row>
    <row r="198" spans="1:8" x14ac:dyDescent="0.3">
      <c r="A198" s="3"/>
      <c r="B198" s="3"/>
      <c r="C198" s="5"/>
      <c r="D198" s="5"/>
      <c r="E198" s="3"/>
      <c r="F198" s="3"/>
      <c r="G198" s="5"/>
      <c r="H198" s="7"/>
    </row>
    <row r="199" spans="1:8" x14ac:dyDescent="0.3">
      <c r="A199" s="3"/>
      <c r="B199" s="3"/>
      <c r="C199" s="5"/>
      <c r="D199" s="5"/>
      <c r="E199" s="3"/>
      <c r="F199" s="3"/>
      <c r="G199" s="5"/>
      <c r="H199" s="7"/>
    </row>
    <row r="200" spans="1:8" x14ac:dyDescent="0.3">
      <c r="A200" s="3"/>
      <c r="B200" s="3"/>
      <c r="C200" s="5"/>
      <c r="D200" s="5"/>
      <c r="E200" s="3"/>
      <c r="F200" s="3"/>
      <c r="G200" s="5"/>
      <c r="H200" s="7"/>
    </row>
    <row r="201" spans="1:8" x14ac:dyDescent="0.3">
      <c r="A201" s="3"/>
      <c r="B201" s="3"/>
      <c r="C201" s="5"/>
      <c r="D201" s="5"/>
      <c r="E201" s="3"/>
      <c r="F201" s="3"/>
      <c r="G201" s="5"/>
      <c r="H201" s="7"/>
    </row>
    <row r="202" spans="1:8" x14ac:dyDescent="0.3">
      <c r="A202" s="3"/>
      <c r="B202" s="3"/>
      <c r="C202" s="5"/>
      <c r="D202" s="5"/>
      <c r="E202" s="3"/>
      <c r="F202" s="3"/>
      <c r="G202" s="5"/>
      <c r="H202" s="7"/>
    </row>
    <row r="203" spans="1:8" x14ac:dyDescent="0.3">
      <c r="A203" s="3"/>
      <c r="B203" s="3"/>
      <c r="C203" s="5"/>
      <c r="D203" s="5"/>
      <c r="E203" s="3"/>
      <c r="F203" s="3"/>
      <c r="G203" s="5"/>
      <c r="H203" s="7"/>
    </row>
    <row r="204" spans="1:8" x14ac:dyDescent="0.3">
      <c r="A204" s="3"/>
      <c r="B204" s="3"/>
      <c r="C204" s="5"/>
      <c r="D204" s="5"/>
      <c r="E204" s="3"/>
      <c r="F204" s="3"/>
      <c r="G204" s="5"/>
      <c r="H204" s="7"/>
    </row>
    <row r="205" spans="1:8" x14ac:dyDescent="0.3">
      <c r="A205" s="3"/>
      <c r="B205" s="3"/>
      <c r="C205" s="5"/>
      <c r="D205" s="5"/>
      <c r="E205" s="3"/>
      <c r="F205" s="3"/>
      <c r="G205" s="5"/>
      <c r="H205" s="7"/>
    </row>
    <row r="206" spans="1:8" x14ac:dyDescent="0.3">
      <c r="A206" s="3"/>
      <c r="B206" s="3"/>
      <c r="C206" s="5"/>
      <c r="D206" s="5"/>
      <c r="E206" s="3"/>
      <c r="F206" s="3"/>
      <c r="G206" s="5"/>
      <c r="H206" s="7"/>
    </row>
    <row r="207" spans="1:8" x14ac:dyDescent="0.3">
      <c r="A207" s="3"/>
      <c r="B207" s="3"/>
      <c r="C207" s="5"/>
      <c r="D207" s="5"/>
      <c r="E207" s="3"/>
      <c r="F207" s="3"/>
      <c r="G207" s="5"/>
      <c r="H207" s="7"/>
    </row>
    <row r="208" spans="1:8" x14ac:dyDescent="0.3">
      <c r="A208" s="3"/>
      <c r="B208" s="3"/>
      <c r="C208" s="5"/>
      <c r="D208" s="5"/>
      <c r="E208" s="3"/>
      <c r="F208" s="3"/>
      <c r="G208" s="5"/>
      <c r="H208" s="7"/>
    </row>
    <row r="209" spans="1:8" x14ac:dyDescent="0.3">
      <c r="A209" s="3"/>
      <c r="B209" s="3"/>
      <c r="C209" s="5"/>
      <c r="D209" s="5"/>
      <c r="E209" s="3"/>
      <c r="F209" s="3"/>
      <c r="G209" s="5"/>
      <c r="H209" s="7"/>
    </row>
    <row r="210" spans="1:8" x14ac:dyDescent="0.3">
      <c r="A210" s="3"/>
      <c r="B210" s="3"/>
      <c r="C210" s="5"/>
      <c r="D210" s="5"/>
      <c r="E210" s="3"/>
      <c r="F210" s="3"/>
      <c r="G210" s="5"/>
      <c r="H210" s="7"/>
    </row>
    <row r="211" spans="1:8" x14ac:dyDescent="0.3">
      <c r="A211" s="3"/>
      <c r="B211" s="3"/>
      <c r="C211" s="5"/>
      <c r="D211" s="5"/>
      <c r="E211" s="3"/>
      <c r="F211" s="3"/>
      <c r="G211" s="5"/>
      <c r="H211" s="7"/>
    </row>
    <row r="212" spans="1:8" x14ac:dyDescent="0.3">
      <c r="A212" s="3"/>
      <c r="B212" s="3"/>
      <c r="C212" s="5"/>
      <c r="D212" s="5"/>
      <c r="E212" s="3"/>
      <c r="F212" s="3"/>
      <c r="G212" s="5"/>
      <c r="H212" s="7"/>
    </row>
    <row r="213" spans="1:8" x14ac:dyDescent="0.3">
      <c r="A213" s="3"/>
      <c r="B213" s="3"/>
      <c r="C213" s="5"/>
      <c r="D213" s="5"/>
      <c r="E213" s="3"/>
      <c r="F213" s="3"/>
      <c r="G213" s="5"/>
      <c r="H213" s="7"/>
    </row>
    <row r="214" spans="1:8" x14ac:dyDescent="0.3">
      <c r="A214" s="3"/>
      <c r="B214" s="3"/>
      <c r="C214" s="5"/>
      <c r="D214" s="5"/>
      <c r="E214" s="3"/>
      <c r="F214" s="3"/>
      <c r="G214" s="5"/>
      <c r="H214" s="7"/>
    </row>
    <row r="215" spans="1:8" x14ac:dyDescent="0.3">
      <c r="A215" s="3"/>
      <c r="B215" s="3"/>
      <c r="C215" s="5"/>
      <c r="D215" s="5"/>
      <c r="E215" s="3"/>
      <c r="F215" s="3"/>
      <c r="G215" s="5"/>
      <c r="H215" s="7"/>
    </row>
    <row r="216" spans="1:8" x14ac:dyDescent="0.3">
      <c r="A216" s="3"/>
      <c r="B216" s="3"/>
      <c r="C216" s="5"/>
      <c r="D216" s="5"/>
      <c r="E216" s="3"/>
      <c r="F216" s="3"/>
      <c r="G216" s="5"/>
      <c r="H216" s="7"/>
    </row>
    <row r="217" spans="1:8" x14ac:dyDescent="0.3">
      <c r="A217" s="3"/>
      <c r="B217" s="3"/>
      <c r="C217" s="5"/>
      <c r="D217" s="5"/>
      <c r="E217" s="3"/>
      <c r="F217" s="3"/>
      <c r="G217" s="5"/>
      <c r="H217" s="7"/>
    </row>
    <row r="218" spans="1:8" x14ac:dyDescent="0.3">
      <c r="A218" s="3"/>
      <c r="B218" s="3"/>
      <c r="C218" s="5"/>
      <c r="D218" s="5"/>
      <c r="E218" s="3"/>
      <c r="F218" s="3"/>
      <c r="G218" s="5"/>
      <c r="H218" s="7"/>
    </row>
    <row r="219" spans="1:8" x14ac:dyDescent="0.3">
      <c r="A219" s="3"/>
      <c r="B219" s="3"/>
      <c r="C219" s="5"/>
      <c r="D219" s="5"/>
      <c r="E219" s="3"/>
      <c r="F219" s="3"/>
      <c r="G219" s="5"/>
      <c r="H219" s="7"/>
    </row>
    <row r="220" spans="1:8" x14ac:dyDescent="0.3">
      <c r="A220" s="3"/>
      <c r="B220" s="3"/>
      <c r="C220" s="5"/>
      <c r="D220" s="5"/>
      <c r="E220" s="3"/>
      <c r="F220" s="3"/>
      <c r="G220" s="5"/>
      <c r="H220" s="7"/>
    </row>
    <row r="221" spans="1:8" x14ac:dyDescent="0.3">
      <c r="A221" s="3"/>
      <c r="B221" s="3"/>
      <c r="C221" s="5"/>
      <c r="D221" s="5"/>
      <c r="E221" s="3"/>
      <c r="F221" s="3"/>
      <c r="G221" s="5"/>
      <c r="H221" s="7"/>
    </row>
    <row r="222" spans="1:8" x14ac:dyDescent="0.3">
      <c r="A222" s="3"/>
      <c r="B222" s="3"/>
      <c r="C222" s="5"/>
      <c r="D222" s="5"/>
      <c r="E222" s="3"/>
      <c r="F222" s="3"/>
      <c r="G222" s="5"/>
      <c r="H222" s="7"/>
    </row>
    <row r="223" spans="1:8" x14ac:dyDescent="0.3">
      <c r="A223" s="3"/>
      <c r="B223" s="3"/>
      <c r="C223" s="5"/>
      <c r="D223" s="5"/>
      <c r="E223" s="3"/>
      <c r="F223" s="3"/>
      <c r="G223" s="5"/>
      <c r="H223" s="7"/>
    </row>
    <row r="224" spans="1:8" x14ac:dyDescent="0.3">
      <c r="A224" s="3"/>
      <c r="B224" s="3"/>
      <c r="C224" s="5"/>
      <c r="D224" s="5"/>
      <c r="E224" s="3"/>
      <c r="F224" s="3"/>
      <c r="G224" s="5"/>
      <c r="H224" s="7"/>
    </row>
    <row r="225" spans="1:8" x14ac:dyDescent="0.3">
      <c r="A225" s="3"/>
      <c r="B225" s="3"/>
      <c r="C225" s="5"/>
      <c r="D225" s="5"/>
      <c r="E225" s="3"/>
      <c r="F225" s="3"/>
      <c r="G225" s="5"/>
      <c r="H225" s="7"/>
    </row>
    <row r="226" spans="1:8" x14ac:dyDescent="0.3">
      <c r="A226" s="3"/>
      <c r="B226" s="3"/>
      <c r="C226" s="5"/>
      <c r="D226" s="5"/>
      <c r="E226" s="3"/>
      <c r="F226" s="3"/>
      <c r="G226" s="5"/>
      <c r="H226" s="7"/>
    </row>
    <row r="227" spans="1:8" x14ac:dyDescent="0.3">
      <c r="A227" s="3"/>
      <c r="B227" s="3"/>
      <c r="C227" s="5"/>
      <c r="D227" s="5"/>
      <c r="E227" s="3"/>
      <c r="F227" s="3"/>
      <c r="G227" s="5"/>
      <c r="H227" s="7"/>
    </row>
    <row r="228" spans="1:8" x14ac:dyDescent="0.3">
      <c r="A228" s="3"/>
      <c r="B228" s="3"/>
      <c r="C228" s="5"/>
      <c r="D228" s="5"/>
      <c r="E228" s="3"/>
      <c r="F228" s="3"/>
      <c r="G228" s="5"/>
      <c r="H228" s="7"/>
    </row>
    <row r="229" spans="1:8" x14ac:dyDescent="0.3">
      <c r="A229" s="3"/>
      <c r="B229" s="3"/>
      <c r="C229" s="5"/>
      <c r="D229" s="5"/>
      <c r="E229" s="3"/>
      <c r="F229" s="3"/>
      <c r="G229" s="5"/>
      <c r="H229" s="7"/>
    </row>
    <row r="230" spans="1:8" x14ac:dyDescent="0.3">
      <c r="A230" s="3"/>
      <c r="B230" s="3"/>
      <c r="C230" s="5"/>
      <c r="D230" s="5"/>
      <c r="E230" s="3"/>
      <c r="F230" s="3"/>
      <c r="G230" s="5"/>
      <c r="H230" s="7"/>
    </row>
    <row r="231" spans="1:8" x14ac:dyDescent="0.3">
      <c r="A231" s="3"/>
      <c r="B231" s="3"/>
      <c r="C231" s="5"/>
      <c r="D231" s="5"/>
      <c r="E231" s="3"/>
      <c r="F231" s="3"/>
      <c r="G231" s="5"/>
      <c r="H231" s="7"/>
    </row>
    <row r="232" spans="1:8" x14ac:dyDescent="0.3">
      <c r="A232" s="3"/>
      <c r="B232" s="3"/>
      <c r="C232" s="5"/>
      <c r="D232" s="5"/>
      <c r="E232" s="3"/>
      <c r="F232" s="3"/>
      <c r="G232" s="5"/>
      <c r="H232" s="7"/>
    </row>
    <row r="233" spans="1:8" x14ac:dyDescent="0.3">
      <c r="A233" s="3"/>
      <c r="B233" s="3"/>
      <c r="C233" s="5"/>
      <c r="D233" s="5"/>
      <c r="E233" s="3"/>
      <c r="F233" s="3"/>
      <c r="G233" s="5"/>
      <c r="H233" s="7"/>
    </row>
    <row r="234" spans="1:8" x14ac:dyDescent="0.3">
      <c r="A234" s="3"/>
      <c r="B234" s="3"/>
      <c r="C234" s="5"/>
      <c r="D234" s="5"/>
      <c r="E234" s="3"/>
      <c r="F234" s="3"/>
      <c r="G234" s="5"/>
      <c r="H234" s="7"/>
    </row>
    <row r="235" spans="1:8" x14ac:dyDescent="0.3">
      <c r="A235" s="3"/>
      <c r="B235" s="3"/>
      <c r="C235" s="5"/>
      <c r="D235" s="5"/>
      <c r="E235" s="3"/>
      <c r="F235" s="3"/>
      <c r="G235" s="5"/>
      <c r="H235" s="7"/>
    </row>
    <row r="236" spans="1:8" x14ac:dyDescent="0.3">
      <c r="A236" s="3"/>
      <c r="B236" s="3"/>
      <c r="C236" s="5"/>
      <c r="D236" s="5"/>
      <c r="E236" s="3"/>
      <c r="F236" s="3"/>
      <c r="G236" s="5"/>
      <c r="H236" s="7"/>
    </row>
    <row r="237" spans="1:8" x14ac:dyDescent="0.3">
      <c r="A237" s="3"/>
      <c r="B237" s="3"/>
      <c r="C237" s="5"/>
      <c r="D237" s="5"/>
      <c r="E237" s="3"/>
      <c r="F237" s="3"/>
      <c r="G237" s="5"/>
      <c r="H237" s="7"/>
    </row>
    <row r="238" spans="1:8" x14ac:dyDescent="0.3">
      <c r="A238" s="3"/>
      <c r="B238" s="3"/>
      <c r="C238" s="5"/>
      <c r="D238" s="5"/>
      <c r="E238" s="3"/>
      <c r="F238" s="3"/>
      <c r="G238" s="5"/>
      <c r="H238" s="7"/>
    </row>
    <row r="239" spans="1:8" x14ac:dyDescent="0.3">
      <c r="A239" s="3"/>
      <c r="B239" s="3"/>
      <c r="C239" s="5"/>
      <c r="D239" s="5"/>
      <c r="E239" s="3"/>
      <c r="F239" s="3"/>
      <c r="G239" s="5"/>
      <c r="H239" s="7"/>
    </row>
  </sheetData>
  <autoFilter ref="A1:H239" xr:uid="{00000000-0001-0000-0000-000000000000}"/>
  <phoneticPr fontId="1" type="noConversion"/>
  <conditionalFormatting sqref="H94:H112">
    <cfRule type="cellIs" dxfId="0" priority="1" operator="lessThan">
      <formula>0</formula>
    </cfRule>
  </conditionalFormatting>
  <hyperlinks>
    <hyperlink ref="D16" r:id="rId1" display="http://stats.customs.gov.cn/" xr:uid="{2F208496-23C0-4273-8B95-27575FBBC3EA}"/>
    <hyperlink ref="D17:D19" r:id="rId2" display="http://stats.customs.gov.cn/" xr:uid="{91BCF538-262E-4898-877A-C210CEC06E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2023</vt:lpstr>
      <vt:lpstr>2017</vt:lpstr>
      <vt:lpstr>2012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林德</dc:creator>
  <cp:lastModifiedBy>林德</cp:lastModifiedBy>
  <dcterms:created xsi:type="dcterms:W3CDTF">2015-06-05T18:19:34Z</dcterms:created>
  <dcterms:modified xsi:type="dcterms:W3CDTF">2026-04-02T07:59:11Z</dcterms:modified>
</cp:coreProperties>
</file>